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05" windowHeight="11080" activeTab="11"/>
  </bookViews>
  <sheets>
    <sheet name="2026年1月" sheetId="1" r:id="rId1"/>
    <sheet name="2月" sheetId="4" r:id="rId2"/>
    <sheet name="3月" sheetId="2" r:id="rId3"/>
    <sheet name="4月" sheetId="3" r:id="rId4"/>
    <sheet name="5月" sheetId="6" r:id="rId5"/>
    <sheet name="6月" sheetId="5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16003</author>
  </authors>
  <commentList>
    <comment ref="O7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  <comment ref="O8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  <comment ref="O9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  <comment ref="O10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  <comment ref="O11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  <comment ref="O12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  <comment ref="O13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  <comment ref="O14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  <comment ref="O15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  <comment ref="O16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  <comment ref="O17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  <comment ref="O18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  <comment ref="O19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  <comment ref="O20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ROHS检测破坏</t>
        </r>
      </text>
    </comment>
  </commentList>
</comments>
</file>

<file path=xl/comments2.xml><?xml version="1.0" encoding="utf-8"?>
<comments xmlns="http://schemas.openxmlformats.org/spreadsheetml/2006/main">
  <authors>
    <author>16003</author>
  </authors>
  <commentList>
    <comment ref="M5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报损</t>
        </r>
      </text>
    </comment>
    <comment ref="M6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AE6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REACH报废</t>
        </r>
      </text>
    </comment>
    <comment ref="M7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AE7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REACH报废</t>
        </r>
      </text>
    </comment>
    <comment ref="BQ7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维修出库</t>
        </r>
      </text>
    </comment>
    <comment ref="M8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AE8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REACH报废</t>
        </r>
      </text>
    </comment>
    <comment ref="BQ8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维修出库</t>
        </r>
      </text>
    </comment>
    <comment ref="M9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AE9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REACH报废</t>
        </r>
      </text>
    </comment>
    <comment ref="BQ9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维修出库</t>
        </r>
      </text>
    </comment>
    <comment ref="M10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O10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AE10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REACH报废</t>
        </r>
      </text>
    </comment>
    <comment ref="BQ10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维修出库</t>
        </r>
      </text>
    </comment>
    <comment ref="M11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O11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AE11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REACH报废</t>
        </r>
      </text>
    </comment>
    <comment ref="M12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O12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T12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借543个充电头</t>
        </r>
      </text>
    </comment>
    <comment ref="AE12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REACH报废</t>
        </r>
      </text>
    </comment>
    <comment ref="M13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O13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AE13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REACH报废</t>
        </r>
      </text>
    </comment>
    <comment ref="M14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O14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AE14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REACH报废</t>
        </r>
      </text>
    </comment>
    <comment ref="M15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O15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AE15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REACH报废</t>
        </r>
      </text>
    </comment>
    <comment ref="M16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O16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AE16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REACH报废</t>
        </r>
      </text>
    </comment>
    <comment ref="M17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O17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AE17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REACH报废</t>
        </r>
      </text>
    </comment>
    <comment ref="M22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M26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O29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ROHS检测报废</t>
        </r>
      </text>
    </comment>
    <comment ref="M31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M33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M37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O40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</t>
        </r>
      </text>
    </comment>
    <comment ref="O41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报损</t>
        </r>
      </text>
    </comment>
    <comment ref="O43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ROHS检测报废</t>
        </r>
      </text>
    </comment>
    <comment ref="O45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ROHS检测报废</t>
        </r>
      </text>
    </comment>
  </commentList>
</comments>
</file>

<file path=xl/comments3.xml><?xml version="1.0" encoding="utf-8"?>
<comments xmlns="http://schemas.openxmlformats.org/spreadsheetml/2006/main">
  <authors>
    <author>16003</author>
  </authors>
  <commentList>
    <comment ref="H12" authorId="0">
      <text>
        <r>
          <rPr>
            <b/>
            <sz val="9"/>
            <rFont val="宋体"/>
            <charset val="134"/>
          </rPr>
          <t>16003:</t>
        </r>
        <r>
          <rPr>
            <sz val="9"/>
            <rFont val="宋体"/>
            <charset val="134"/>
          </rPr>
          <t xml:space="preserve">
入库2000抵消上月多入库的573剩余1463</t>
        </r>
      </text>
    </comment>
  </commentList>
</comments>
</file>

<file path=xl/sharedStrings.xml><?xml version="1.0" encoding="utf-8"?>
<sst xmlns="http://schemas.openxmlformats.org/spreadsheetml/2006/main" count="1212" uniqueCount="52">
  <si>
    <t>2026年1月出入库统计表</t>
  </si>
  <si>
    <t>商品名称</t>
  </si>
  <si>
    <t>上月库存</t>
  </si>
  <si>
    <t>入库总量</t>
  </si>
  <si>
    <t>出库总量</t>
  </si>
  <si>
    <t>剩余库存</t>
  </si>
  <si>
    <t>预警标准</t>
  </si>
  <si>
    <t>库存状态</t>
  </si>
  <si>
    <t>1号</t>
  </si>
  <si>
    <t>2号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</si>
  <si>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</si>
  <si>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</si>
  <si>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</si>
  <si>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</si>
  <si>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</si>
  <si>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</si>
  <si>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</si>
  <si>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</si>
  <si>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</si>
  <si>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</si>
  <si>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</si>
  <si>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</si>
  <si>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</si>
  <si>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</si>
  <si>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</si>
  <si>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</si>
  <si>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</si>
  <si>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</si>
  <si>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</si>
  <si>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22号</t>
  </si>
  <si>
    <t>23号</t>
  </si>
  <si>
    <t>24号</t>
  </si>
  <si>
    <t>25号</t>
  </si>
  <si>
    <t>26号</t>
  </si>
  <si>
    <t>27号</t>
  </si>
  <si>
    <t>28号</t>
  </si>
  <si>
    <t>29号</t>
  </si>
  <si>
    <t>30号</t>
  </si>
  <si>
    <t>31号</t>
  </si>
  <si>
    <t>入库</t>
  </si>
  <si>
    <t>出库</t>
  </si>
  <si>
    <t>2026年2月出入库统计表</t>
  </si>
  <si>
    <t>2026年3月出入库统计表</t>
  </si>
  <si>
    <t>2026年4月出入库统计表</t>
  </si>
  <si>
    <t>2026年5月出入库统计表</t>
  </si>
  <si>
    <t>2026年6月出入库统计表</t>
  </si>
  <si>
    <t>2026年7月出入库统计表</t>
  </si>
  <si>
    <t>2026年8月出入库统计表</t>
  </si>
  <si>
    <t>2026年9月出入库统计表</t>
  </si>
  <si>
    <t>2026年10月出入库统计表</t>
  </si>
  <si>
    <t>2026年11月出入库统计表</t>
  </si>
  <si>
    <t>2026年12月出入库统计表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</si>
</sst>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Continuous" vertical="center"/>
      <protection locked="0"/>
    </xf>
    <xf numFmtId="0" fontId="0" fillId="0" borderId="1" xfId="0" applyBorder="1" applyAlignment="1" applyProtection="1">
      <alignment vertical="center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0"/>
  <sheetViews>
    <sheetView workbookViewId="0">
      <pane xSplit="7" ySplit="3" topLeftCell="H4" activePane="bottomRight" state="frozen"/>
      <selection/>
      <selection pane="topRight"/>
      <selection pane="bottomLeft"/>
      <selection pane="bottomRight" activeCell="A4" sqref="$A4:$XFD46"/>
    </sheetView>
  </sheetViews>
  <sheetFormatPr defaultColWidth="9" defaultRowHeight="14"/>
  <cols>
    <col min="1" max="1" width="47.25" style="21" customWidth="1"/>
    <col min="2" max="6" width="8.875" style="21" customWidth="1"/>
    <col min="7" max="7" width="9" style="21"/>
    <col min="8" max="69" width="4.625" style="22" customWidth="1"/>
    <col min="70" max="16384" width="9" style="21"/>
  </cols>
  <sheetData>
    <row r="1" s="4" customFormat="1" ht="27" customHeight="1" spans="1:69">
      <c r="A1" s="23" t="s">
        <v>0</v>
      </c>
      <c r="B1" s="23"/>
      <c r="C1" s="23"/>
      <c r="D1" s="23"/>
      <c r="E1" s="23"/>
      <c r="F1" s="23"/>
      <c r="G1" s="23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customFormat="1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customFormat="1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customFormat="1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customFormat="1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customFormat="1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customFormat="1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customFormat="1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customFormat="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customFormat="1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customFormat="1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customFormat="1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customFormat="1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customFormat="1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customFormat="1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customFormat="1" spans="1:69">
      <c r="A18" s="9"/>
      <c r="B18" s="9"/>
      <c r="C18" s="10"/>
      <c r="D18" s="10"/>
      <c r="E18" s="10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customFormat="1" spans="1:69">
      <c r="A19" s="9"/>
      <c r="B19" s="9"/>
      <c r="C19" s="10"/>
      <c r="D19" s="10"/>
      <c r="E19" s="10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customFormat="1" spans="1:69">
      <c r="A20" s="9"/>
      <c r="B20" s="9"/>
      <c r="C20" s="10"/>
      <c r="D20" s="10"/>
      <c r="E20" s="10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customFormat="1" spans="1:69">
      <c r="A21" s="9"/>
      <c r="B21" s="9"/>
      <c r="C21" s="10"/>
      <c r="D21" s="10"/>
      <c r="E21" s="10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customFormat="1" spans="1:69">
      <c r="A22" s="9"/>
      <c r="B22" s="9"/>
      <c r="C22" s="10"/>
      <c r="D22" s="10"/>
      <c r="E22" s="10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customFormat="1" spans="1:69">
      <c r="A23" s="9"/>
      <c r="B23" s="9"/>
      <c r="C23" s="10"/>
      <c r="D23" s="10"/>
      <c r="E23" s="10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customFormat="1" spans="1:69">
      <c r="A24" s="9"/>
      <c r="B24" s="9"/>
      <c r="C24" s="10"/>
      <c r="D24" s="10"/>
      <c r="E24" s="10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customFormat="1" spans="1:69">
      <c r="A25" s="9"/>
      <c r="B25" s="9"/>
      <c r="C25" s="10"/>
      <c r="D25" s="10"/>
      <c r="E25" s="10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customFormat="1" spans="1:69">
      <c r="A26" s="9"/>
      <c r="B26" s="9"/>
      <c r="C26" s="10"/>
      <c r="D26" s="10"/>
      <c r="E26" s="10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customFormat="1" spans="1:69">
      <c r="A27" s="9"/>
      <c r="B27" s="9"/>
      <c r="C27" s="10"/>
      <c r="D27" s="10"/>
      <c r="E27" s="10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customFormat="1" spans="1:69">
      <c r="A28" s="9"/>
      <c r="B28" s="9"/>
      <c r="C28" s="10"/>
      <c r="D28" s="10"/>
      <c r="E28" s="10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customFormat="1" spans="1:69">
      <c r="A29" s="9"/>
      <c r="B29" s="9"/>
      <c r="C29" s="10"/>
      <c r="D29" s="10"/>
      <c r="E29" s="10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customFormat="1" spans="1:69">
      <c r="A30" s="9"/>
      <c r="B30" s="9"/>
      <c r="C30" s="10"/>
      <c r="D30" s="10"/>
      <c r="E30" s="10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customFormat="1" spans="1:69">
      <c r="A31" s="9"/>
      <c r="B31" s="9"/>
      <c r="C31" s="10"/>
      <c r="D31" s="10"/>
      <c r="E31" s="10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customFormat="1" spans="1:69">
      <c r="A32" s="9"/>
      <c r="B32" s="9"/>
      <c r="C32" s="10"/>
      <c r="D32" s="10"/>
      <c r="E32" s="10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customFormat="1" spans="1:69">
      <c r="A33" s="9"/>
      <c r="B33" s="9"/>
      <c r="C33" s="10"/>
      <c r="D33" s="10"/>
      <c r="E33" s="10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customFormat="1" spans="1:69">
      <c r="A34" s="9"/>
      <c r="B34" s="9"/>
      <c r="C34" s="10"/>
      <c r="D34" s="10"/>
      <c r="E34" s="10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customFormat="1" spans="1:69">
      <c r="A35" s="9"/>
      <c r="B35" s="9"/>
      <c r="C35" s="10"/>
      <c r="D35" s="10"/>
      <c r="E35" s="10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customFormat="1" spans="1:69">
      <c r="A36" s="9"/>
      <c r="B36" s="9"/>
      <c r="C36" s="10"/>
      <c r="D36" s="10"/>
      <c r="E36" s="10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customFormat="1" spans="1:69">
      <c r="A37" s="9"/>
      <c r="B37" s="9"/>
      <c r="C37" s="10"/>
      <c r="D37" s="10"/>
      <c r="E37" s="10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customFormat="1" spans="1:69">
      <c r="A38" s="9"/>
      <c r="B38" s="9"/>
      <c r="C38" s="10"/>
      <c r="D38" s="10"/>
      <c r="E38" s="10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customFormat="1" spans="1:69">
      <c r="A39" s="9"/>
      <c r="B39" s="9"/>
      <c r="C39" s="10"/>
      <c r="D39" s="10"/>
      <c r="E39" s="10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customFormat="1" spans="1:69">
      <c r="A40" s="9"/>
      <c r="B40" s="9"/>
      <c r="C40" s="10"/>
      <c r="D40" s="10"/>
      <c r="E40" s="10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customFormat="1" spans="1:69">
      <c r="A41" s="9"/>
      <c r="B41" s="9"/>
      <c r="C41" s="10"/>
      <c r="D41" s="10"/>
      <c r="E41" s="10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customFormat="1" spans="1:69">
      <c r="A42" s="9"/>
      <c r="B42" s="9"/>
      <c r="C42" s="10"/>
      <c r="D42" s="10"/>
      <c r="E42" s="10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customFormat="1" spans="1:69">
      <c r="A43" s="9"/>
      <c r="B43" s="9"/>
      <c r="C43" s="10"/>
      <c r="D43" s="10"/>
      <c r="E43" s="10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customFormat="1" spans="1:69">
      <c r="A44" s="9"/>
      <c r="B44" s="9"/>
      <c r="C44" s="10"/>
      <c r="D44" s="10"/>
      <c r="E44" s="10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customFormat="1" spans="1:69">
      <c r="A45" s="9"/>
      <c r="B45" s="9"/>
      <c r="C45" s="10"/>
      <c r="D45" s="10"/>
      <c r="E45" s="10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customFormat="1" spans="1:69">
      <c r="A46" s="9"/>
      <c r="B46" s="9"/>
      <c r="C46" s="10"/>
      <c r="D46" s="10"/>
      <c r="E46" s="10"/>
      <c r="F46" s="9"/>
      <c r="G46" s="10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24">
        <f t="shared" ref="C42:C70" si="0">SUMIF($3:$3,"入库",47:47)</f>
        <v>0</v>
      </c>
      <c r="D47" s="24">
        <f t="shared" ref="D42:D70" si="1">SUMIF($3:$3,"出库",47:47)</f>
        <v>0</v>
      </c>
      <c r="E47" s="24">
        <f t="shared" ref="E42:E70" si="2">B47+C47-D47</f>
        <v>0</v>
      </c>
      <c r="F47" s="9">
        <v>50</v>
      </c>
      <c r="G47" s="24" t="str">
        <f t="shared" ref="G42:G70" si="3">IF(E47&lt;F47,"库存不足","库存充足")</f>
        <v>库存不足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  <row r="48" spans="1:69">
      <c r="A48" s="9"/>
      <c r="B48" s="9"/>
      <c r="C48" s="24">
        <f t="shared" si="0"/>
        <v>0</v>
      </c>
      <c r="D48" s="24">
        <f t="shared" si="1"/>
        <v>0</v>
      </c>
      <c r="E48" s="24">
        <f t="shared" si="2"/>
        <v>0</v>
      </c>
      <c r="F48" s="9">
        <v>50</v>
      </c>
      <c r="G48" s="24" t="str">
        <f t="shared" si="3"/>
        <v>库存不足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69">
      <c r="A49" s="9"/>
      <c r="B49" s="9"/>
      <c r="C49" s="24">
        <f t="shared" si="0"/>
        <v>0</v>
      </c>
      <c r="D49" s="24">
        <f t="shared" si="1"/>
        <v>0</v>
      </c>
      <c r="E49" s="24">
        <f t="shared" si="2"/>
        <v>0</v>
      </c>
      <c r="F49" s="9">
        <v>50</v>
      </c>
      <c r="G49" s="24" t="str">
        <f t="shared" si="3"/>
        <v>库存不足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</row>
    <row r="50" spans="1:69">
      <c r="A50" s="9"/>
      <c r="B50" s="9"/>
      <c r="C50" s="24">
        <f t="shared" si="0"/>
        <v>0</v>
      </c>
      <c r="D50" s="24">
        <f t="shared" si="1"/>
        <v>0</v>
      </c>
      <c r="E50" s="24">
        <f t="shared" si="2"/>
        <v>0</v>
      </c>
      <c r="F50" s="9">
        <v>50</v>
      </c>
      <c r="G50" s="24" t="str">
        <f t="shared" si="3"/>
        <v>库存不足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</row>
    <row r="51" spans="1:69">
      <c r="A51" s="9"/>
      <c r="B51" s="9"/>
      <c r="C51" s="24">
        <f t="shared" si="0"/>
        <v>0</v>
      </c>
      <c r="D51" s="24">
        <f t="shared" si="1"/>
        <v>0</v>
      </c>
      <c r="E51" s="24">
        <f t="shared" si="2"/>
        <v>0</v>
      </c>
      <c r="F51" s="9">
        <v>50</v>
      </c>
      <c r="G51" s="24" t="str">
        <f t="shared" si="3"/>
        <v>库存不足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</row>
    <row r="52" spans="1:69">
      <c r="A52" s="9"/>
      <c r="B52" s="9"/>
      <c r="C52" s="24">
        <f t="shared" si="0"/>
        <v>0</v>
      </c>
      <c r="D52" s="24">
        <f t="shared" si="1"/>
        <v>0</v>
      </c>
      <c r="E52" s="24">
        <f t="shared" si="2"/>
        <v>0</v>
      </c>
      <c r="F52" s="9">
        <v>50</v>
      </c>
      <c r="G52" s="24" t="str">
        <f t="shared" si="3"/>
        <v>库存不足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</row>
    <row r="53" spans="1:69">
      <c r="A53" s="9"/>
      <c r="B53" s="9"/>
      <c r="C53" s="24">
        <f t="shared" si="0"/>
        <v>0</v>
      </c>
      <c r="D53" s="24">
        <f t="shared" si="1"/>
        <v>0</v>
      </c>
      <c r="E53" s="24">
        <f t="shared" si="2"/>
        <v>0</v>
      </c>
      <c r="F53" s="9">
        <v>50</v>
      </c>
      <c r="G53" s="24" t="str">
        <f t="shared" si="3"/>
        <v>库存不足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</row>
    <row r="54" spans="1:69">
      <c r="A54" s="9"/>
      <c r="B54" s="9"/>
      <c r="C54" s="24">
        <f t="shared" si="0"/>
        <v>0</v>
      </c>
      <c r="D54" s="24">
        <f t="shared" si="1"/>
        <v>0</v>
      </c>
      <c r="E54" s="24">
        <f t="shared" si="2"/>
        <v>0</v>
      </c>
      <c r="F54" s="9">
        <v>50</v>
      </c>
      <c r="G54" s="24" t="str">
        <f t="shared" si="3"/>
        <v>库存不足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</row>
    <row r="55" spans="1:69">
      <c r="A55" s="9"/>
      <c r="B55" s="9"/>
      <c r="C55" s="24">
        <f t="shared" si="0"/>
        <v>0</v>
      </c>
      <c r="D55" s="24">
        <f t="shared" si="1"/>
        <v>0</v>
      </c>
      <c r="E55" s="24">
        <f t="shared" si="2"/>
        <v>0</v>
      </c>
      <c r="F55" s="9">
        <v>50</v>
      </c>
      <c r="G55" s="24" t="str">
        <f t="shared" si="3"/>
        <v>库存不足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</row>
    <row r="56" spans="1:69">
      <c r="A56" s="9"/>
      <c r="B56" s="9"/>
      <c r="C56" s="24">
        <f t="shared" si="0"/>
        <v>0</v>
      </c>
      <c r="D56" s="24">
        <f t="shared" si="1"/>
        <v>0</v>
      </c>
      <c r="E56" s="24">
        <f t="shared" si="2"/>
        <v>0</v>
      </c>
      <c r="F56" s="9">
        <v>50</v>
      </c>
      <c r="G56" s="24" t="str">
        <f t="shared" si="3"/>
        <v>库存不足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</row>
    <row r="57" spans="1:69">
      <c r="A57" s="9"/>
      <c r="B57" s="9"/>
      <c r="C57" s="24">
        <f t="shared" si="0"/>
        <v>0</v>
      </c>
      <c r="D57" s="24">
        <f t="shared" si="1"/>
        <v>0</v>
      </c>
      <c r="E57" s="24">
        <f t="shared" si="2"/>
        <v>0</v>
      </c>
      <c r="F57" s="9">
        <v>50</v>
      </c>
      <c r="G57" s="24" t="str">
        <f t="shared" si="3"/>
        <v>库存不足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</row>
    <row r="58" spans="1:69">
      <c r="A58" s="9"/>
      <c r="B58" s="9"/>
      <c r="C58" s="24">
        <f t="shared" si="0"/>
        <v>0</v>
      </c>
      <c r="D58" s="24">
        <f t="shared" si="1"/>
        <v>0</v>
      </c>
      <c r="E58" s="24">
        <f t="shared" si="2"/>
        <v>0</v>
      </c>
      <c r="F58" s="9">
        <v>50</v>
      </c>
      <c r="G58" s="24" t="str">
        <f t="shared" si="3"/>
        <v>库存不足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</row>
    <row r="59" spans="1:69">
      <c r="A59" s="9"/>
      <c r="B59" s="9"/>
      <c r="C59" s="24">
        <f t="shared" si="0"/>
        <v>0</v>
      </c>
      <c r="D59" s="24">
        <f t="shared" si="1"/>
        <v>0</v>
      </c>
      <c r="E59" s="24">
        <f t="shared" si="2"/>
        <v>0</v>
      </c>
      <c r="F59" s="9">
        <v>50</v>
      </c>
      <c r="G59" s="24" t="str">
        <f t="shared" si="3"/>
        <v>库存不足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</row>
    <row r="60" spans="1:69">
      <c r="A60" s="9"/>
      <c r="B60" s="9"/>
      <c r="C60" s="24">
        <f t="shared" si="0"/>
        <v>0</v>
      </c>
      <c r="D60" s="24">
        <f t="shared" si="1"/>
        <v>0</v>
      </c>
      <c r="E60" s="24">
        <f t="shared" si="2"/>
        <v>0</v>
      </c>
      <c r="F60" s="9">
        <v>50</v>
      </c>
      <c r="G60" s="24" t="str">
        <f t="shared" si="3"/>
        <v>库存不足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</row>
    <row r="61" spans="1:69">
      <c r="A61" s="9"/>
      <c r="B61" s="9"/>
      <c r="C61" s="24">
        <f t="shared" si="0"/>
        <v>0</v>
      </c>
      <c r="D61" s="24">
        <f t="shared" si="1"/>
        <v>0</v>
      </c>
      <c r="E61" s="24">
        <f t="shared" si="2"/>
        <v>0</v>
      </c>
      <c r="F61" s="9">
        <v>50</v>
      </c>
      <c r="G61" s="24" t="str">
        <f t="shared" si="3"/>
        <v>库存不足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</row>
    <row r="62" spans="1:69">
      <c r="A62" s="9"/>
      <c r="B62" s="9"/>
      <c r="C62" s="24">
        <f t="shared" si="0"/>
        <v>0</v>
      </c>
      <c r="D62" s="24">
        <f t="shared" si="1"/>
        <v>0</v>
      </c>
      <c r="E62" s="24">
        <f t="shared" si="2"/>
        <v>0</v>
      </c>
      <c r="F62" s="9">
        <v>50</v>
      </c>
      <c r="G62" s="24" t="str">
        <f t="shared" si="3"/>
        <v>库存不足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</row>
    <row r="63" spans="1:69">
      <c r="A63" s="9"/>
      <c r="B63" s="9"/>
      <c r="C63" s="24">
        <f t="shared" si="0"/>
        <v>0</v>
      </c>
      <c r="D63" s="24">
        <f t="shared" si="1"/>
        <v>0</v>
      </c>
      <c r="E63" s="24">
        <f t="shared" si="2"/>
        <v>0</v>
      </c>
      <c r="F63" s="9">
        <v>50</v>
      </c>
      <c r="G63" s="24" t="str">
        <f t="shared" si="3"/>
        <v>库存不足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</row>
    <row r="64" spans="1:69">
      <c r="A64" s="9"/>
      <c r="B64" s="9"/>
      <c r="C64" s="24">
        <f t="shared" si="0"/>
        <v>0</v>
      </c>
      <c r="D64" s="24">
        <f t="shared" si="1"/>
        <v>0</v>
      </c>
      <c r="E64" s="24">
        <f t="shared" si="2"/>
        <v>0</v>
      </c>
      <c r="F64" s="9">
        <v>50</v>
      </c>
      <c r="G64" s="24" t="str">
        <f t="shared" si="3"/>
        <v>库存不足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</row>
    <row r="65" spans="1:69">
      <c r="A65" s="9"/>
      <c r="B65" s="9"/>
      <c r="C65" s="24">
        <f t="shared" si="0"/>
        <v>0</v>
      </c>
      <c r="D65" s="24">
        <f t="shared" si="1"/>
        <v>0</v>
      </c>
      <c r="E65" s="24">
        <f t="shared" si="2"/>
        <v>0</v>
      </c>
      <c r="F65" s="9">
        <v>50</v>
      </c>
      <c r="G65" s="24" t="str">
        <f t="shared" si="3"/>
        <v>库存不足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</row>
    <row r="66" spans="1:69">
      <c r="A66" s="9"/>
      <c r="B66" s="9"/>
      <c r="C66" s="24">
        <f t="shared" si="0"/>
        <v>0</v>
      </c>
      <c r="D66" s="24">
        <f t="shared" si="1"/>
        <v>0</v>
      </c>
      <c r="E66" s="24">
        <f t="shared" si="2"/>
        <v>0</v>
      </c>
      <c r="F66" s="9">
        <v>50</v>
      </c>
      <c r="G66" s="24" t="str">
        <f t="shared" si="3"/>
        <v>库存不足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</row>
    <row r="67" spans="1:69">
      <c r="A67" s="9"/>
      <c r="B67" s="9"/>
      <c r="C67" s="24">
        <f t="shared" si="0"/>
        <v>0</v>
      </c>
      <c r="D67" s="24">
        <f t="shared" si="1"/>
        <v>0</v>
      </c>
      <c r="E67" s="24">
        <f t="shared" si="2"/>
        <v>0</v>
      </c>
      <c r="F67" s="9">
        <v>50</v>
      </c>
      <c r="G67" s="24" t="str">
        <f t="shared" si="3"/>
        <v>库存不足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</row>
    <row r="68" spans="1:69">
      <c r="A68" s="9"/>
      <c r="B68" s="9"/>
      <c r="C68" s="24">
        <f t="shared" si="0"/>
        <v>0</v>
      </c>
      <c r="D68" s="24">
        <f t="shared" si="1"/>
        <v>0</v>
      </c>
      <c r="E68" s="24">
        <f t="shared" si="2"/>
        <v>0</v>
      </c>
      <c r="F68" s="9">
        <v>50</v>
      </c>
      <c r="G68" s="24" t="str">
        <f t="shared" si="3"/>
        <v>库存不足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</row>
    <row r="69" spans="1:69">
      <c r="A69" s="9"/>
      <c r="B69" s="9"/>
      <c r="C69" s="24">
        <f t="shared" si="0"/>
        <v>0</v>
      </c>
      <c r="D69" s="24">
        <f t="shared" si="1"/>
        <v>0</v>
      </c>
      <c r="E69" s="24">
        <f t="shared" si="2"/>
        <v>0</v>
      </c>
      <c r="F69" s="9">
        <v>50</v>
      </c>
      <c r="G69" s="24" t="str">
        <f t="shared" si="3"/>
        <v>库存不足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</row>
    <row r="70" spans="1:69">
      <c r="A70" s="9"/>
      <c r="B70" s="9"/>
      <c r="C70" s="24">
        <f t="shared" si="0"/>
        <v>0</v>
      </c>
      <c r="D70" s="24">
        <f t="shared" si="1"/>
        <v>0</v>
      </c>
      <c r="E70" s="24">
        <f t="shared" si="2"/>
        <v>0</v>
      </c>
      <c r="F70" s="9">
        <v>50</v>
      </c>
      <c r="G70" s="24" t="str">
        <f t="shared" si="3"/>
        <v>库存不足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</row>
  </sheetData>
  <mergeCells count="38"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4:G46">
    <cfRule type="containsText" dxfId="0" priority="1" operator="between" text="库存不足">
      <formula>NOT(ISERROR(SEARCH("库存不足",G4)))</formula>
    </cfRule>
  </conditionalFormatting>
  <conditionalFormatting sqref="G1:G3 G47:G1048576">
    <cfRule type="containsText" dxfId="0" priority="2" operator="between" text="库存不足">
      <formula>NOT(ISERROR(SEARCH("库存不足",G1)))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62"/>
  <sheetViews>
    <sheetView workbookViewId="0">
      <pane xSplit="7" ySplit="3" topLeftCell="H4" activePane="bottomRight" state="frozen"/>
      <selection/>
      <selection pane="topRight"/>
      <selection pane="bottomLeft"/>
      <selection pane="bottomRight" activeCell="A4" sqref="$A4:$XFD46"/>
    </sheetView>
  </sheetViews>
  <sheetFormatPr defaultColWidth="9" defaultRowHeight="14"/>
  <cols>
    <col min="1" max="1" width="43.5" style="21" customWidth="1"/>
    <col min="2" max="2" width="11.125" style="21"/>
    <col min="3" max="7" width="9" style="21"/>
    <col min="8" max="69" width="4.625" style="22" customWidth="1"/>
    <col min="70" max="16384" width="9" style="21"/>
  </cols>
  <sheetData>
    <row r="1" s="4" customFormat="1" ht="27" customHeight="1" spans="1:69">
      <c r="A1" s="23" t="s">
        <v>41</v>
      </c>
      <c r="B1" s="23"/>
      <c r="C1" s="23"/>
      <c r="D1" s="23"/>
      <c r="E1" s="23"/>
      <c r="F1" s="23"/>
      <c r="G1" s="23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/>
      <c r="D18" s="10"/>
      <c r="E18" s="10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/>
      <c r="C19" s="10"/>
      <c r="D19" s="10"/>
      <c r="E19" s="10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/>
      <c r="C20" s="10"/>
      <c r="D20" s="10"/>
      <c r="E20" s="10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/>
      <c r="C21" s="10"/>
      <c r="D21" s="10"/>
      <c r="E21" s="10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/>
      <c r="C22" s="10"/>
      <c r="D22" s="10"/>
      <c r="E22" s="10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/>
      <c r="D23" s="10"/>
      <c r="E23" s="10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10"/>
      <c r="D24" s="10"/>
      <c r="E24" s="10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10"/>
      <c r="D25" s="10"/>
      <c r="E25" s="10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10"/>
      <c r="D26" s="10"/>
      <c r="E26" s="10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10"/>
      <c r="D27" s="10"/>
      <c r="E27" s="10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9"/>
      <c r="B28" s="9"/>
      <c r="C28" s="10"/>
      <c r="D28" s="10"/>
      <c r="E28" s="10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>
      <c r="A29" s="9"/>
      <c r="B29" s="9"/>
      <c r="C29" s="10"/>
      <c r="D29" s="10"/>
      <c r="E29" s="10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>
      <c r="A30" s="9"/>
      <c r="B30" s="9"/>
      <c r="C30" s="10"/>
      <c r="D30" s="10"/>
      <c r="E30" s="10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>
      <c r="A31" s="9"/>
      <c r="B31" s="9"/>
      <c r="C31" s="10"/>
      <c r="D31" s="10"/>
      <c r="E31" s="10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>
      <c r="A32" s="9"/>
      <c r="B32" s="9"/>
      <c r="C32" s="10"/>
      <c r="D32" s="10"/>
      <c r="E32" s="10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>
      <c r="A33" s="9"/>
      <c r="B33" s="9"/>
      <c r="C33" s="10"/>
      <c r="D33" s="10"/>
      <c r="E33" s="10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>
      <c r="A34" s="9"/>
      <c r="B34" s="9"/>
      <c r="C34" s="10"/>
      <c r="D34" s="10"/>
      <c r="E34" s="10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>
      <c r="A35" s="9"/>
      <c r="B35" s="9"/>
      <c r="C35" s="10"/>
      <c r="D35" s="10"/>
      <c r="E35" s="10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>
      <c r="A36" s="9"/>
      <c r="B36" s="9"/>
      <c r="C36" s="10"/>
      <c r="D36" s="10"/>
      <c r="E36" s="10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>
      <c r="A37" s="9"/>
      <c r="B37" s="9"/>
      <c r="C37" s="10"/>
      <c r="D37" s="10"/>
      <c r="E37" s="10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>
      <c r="A38" s="9"/>
      <c r="B38" s="9"/>
      <c r="C38" s="10"/>
      <c r="D38" s="10"/>
      <c r="E38" s="10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>
      <c r="A39" s="9"/>
      <c r="B39" s="9"/>
      <c r="C39" s="10"/>
      <c r="D39" s="10"/>
      <c r="E39" s="10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>
      <c r="A40" s="9"/>
      <c r="B40" s="9"/>
      <c r="C40" s="10"/>
      <c r="D40" s="10"/>
      <c r="E40" s="10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>
      <c r="A41" s="9"/>
      <c r="B41" s="9"/>
      <c r="C41" s="10"/>
      <c r="D41" s="10"/>
      <c r="E41" s="10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>
      <c r="A42" s="9"/>
      <c r="B42" s="9"/>
      <c r="C42" s="10"/>
      <c r="D42" s="10"/>
      <c r="E42" s="10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>
      <c r="A43" s="9"/>
      <c r="B43" s="9"/>
      <c r="C43" s="10"/>
      <c r="D43" s="10"/>
      <c r="E43" s="10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>
      <c r="A44" s="9"/>
      <c r="B44" s="9"/>
      <c r="C44" s="10"/>
      <c r="D44" s="10"/>
      <c r="E44" s="10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>
      <c r="A45" s="9"/>
      <c r="B45" s="9"/>
      <c r="C45" s="10"/>
      <c r="D45" s="10"/>
      <c r="E45" s="10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>
      <c r="A46" s="9"/>
      <c r="B46" s="9"/>
      <c r="C46" s="10"/>
      <c r="D46" s="10"/>
      <c r="E46" s="10"/>
      <c r="F46" s="9"/>
      <c r="G46" s="10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10">
        <f t="shared" ref="C47:C62" si="0">SUMIF($3:$3,"入库",47:47)</f>
        <v>0</v>
      </c>
      <c r="D47" s="10">
        <f t="shared" ref="D47:D62" si="1">SUMIF($3:$3,"出库",47:47)</f>
        <v>0</v>
      </c>
      <c r="E47" s="10">
        <f t="shared" ref="E47:E62" si="2">B47+C47-D47</f>
        <v>0</v>
      </c>
      <c r="F47" s="9">
        <v>50</v>
      </c>
      <c r="G47" s="10" t="str">
        <f t="shared" ref="G47:G62" si="3">IF(E47&lt;F47,"库存不足","库存充足")</f>
        <v>库存不足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  <row r="48" spans="1:69">
      <c r="A48" s="9"/>
      <c r="B48" s="9"/>
      <c r="C48" s="10">
        <f t="shared" si="0"/>
        <v>0</v>
      </c>
      <c r="D48" s="10">
        <f t="shared" si="1"/>
        <v>0</v>
      </c>
      <c r="E48" s="10">
        <f t="shared" si="2"/>
        <v>0</v>
      </c>
      <c r="F48" s="9">
        <v>50</v>
      </c>
      <c r="G48" s="10" t="str">
        <f t="shared" si="3"/>
        <v>库存不足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69">
      <c r="A49" s="9"/>
      <c r="B49" s="9"/>
      <c r="C49" s="10">
        <f t="shared" si="0"/>
        <v>0</v>
      </c>
      <c r="D49" s="10">
        <f t="shared" si="1"/>
        <v>0</v>
      </c>
      <c r="E49" s="10">
        <f t="shared" si="2"/>
        <v>0</v>
      </c>
      <c r="F49" s="9">
        <v>50</v>
      </c>
      <c r="G49" s="10" t="str">
        <f t="shared" si="3"/>
        <v>库存不足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</row>
    <row r="50" spans="1:69">
      <c r="A50" s="9"/>
      <c r="B50" s="9"/>
      <c r="C50" s="10">
        <f t="shared" si="0"/>
        <v>0</v>
      </c>
      <c r="D50" s="10">
        <f t="shared" si="1"/>
        <v>0</v>
      </c>
      <c r="E50" s="10">
        <f t="shared" si="2"/>
        <v>0</v>
      </c>
      <c r="F50" s="9">
        <v>50</v>
      </c>
      <c r="G50" s="10" t="str">
        <f t="shared" si="3"/>
        <v>库存不足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</row>
    <row r="51" spans="1:69">
      <c r="A51" s="9"/>
      <c r="B51" s="9"/>
      <c r="C51" s="10">
        <f t="shared" si="0"/>
        <v>0</v>
      </c>
      <c r="D51" s="10">
        <f t="shared" si="1"/>
        <v>0</v>
      </c>
      <c r="E51" s="10">
        <f t="shared" si="2"/>
        <v>0</v>
      </c>
      <c r="F51" s="9">
        <v>50</v>
      </c>
      <c r="G51" s="10" t="str">
        <f t="shared" si="3"/>
        <v>库存不足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</row>
    <row r="52" spans="1:69">
      <c r="A52" s="9"/>
      <c r="B52" s="9"/>
      <c r="C52" s="10">
        <f t="shared" si="0"/>
        <v>0</v>
      </c>
      <c r="D52" s="10">
        <f t="shared" si="1"/>
        <v>0</v>
      </c>
      <c r="E52" s="10">
        <f t="shared" si="2"/>
        <v>0</v>
      </c>
      <c r="F52" s="9">
        <v>50</v>
      </c>
      <c r="G52" s="10" t="str">
        <f t="shared" si="3"/>
        <v>库存不足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</row>
    <row r="53" spans="1:69">
      <c r="A53" s="9"/>
      <c r="B53" s="9"/>
      <c r="C53" s="10">
        <f t="shared" si="0"/>
        <v>0</v>
      </c>
      <c r="D53" s="10">
        <f t="shared" si="1"/>
        <v>0</v>
      </c>
      <c r="E53" s="10">
        <f t="shared" si="2"/>
        <v>0</v>
      </c>
      <c r="F53" s="9">
        <v>50</v>
      </c>
      <c r="G53" s="10" t="str">
        <f t="shared" si="3"/>
        <v>库存不足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</row>
    <row r="54" spans="1:69">
      <c r="A54" s="9"/>
      <c r="B54" s="9"/>
      <c r="C54" s="10">
        <f t="shared" si="0"/>
        <v>0</v>
      </c>
      <c r="D54" s="10">
        <f t="shared" si="1"/>
        <v>0</v>
      </c>
      <c r="E54" s="10">
        <f t="shared" si="2"/>
        <v>0</v>
      </c>
      <c r="F54" s="9">
        <v>50</v>
      </c>
      <c r="G54" s="10" t="str">
        <f t="shared" si="3"/>
        <v>库存不足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</row>
    <row r="55" spans="1:69">
      <c r="A55" s="9"/>
      <c r="B55" s="9"/>
      <c r="C55" s="10">
        <f t="shared" si="0"/>
        <v>0</v>
      </c>
      <c r="D55" s="10">
        <f t="shared" si="1"/>
        <v>0</v>
      </c>
      <c r="E55" s="10">
        <f t="shared" si="2"/>
        <v>0</v>
      </c>
      <c r="F55" s="9">
        <v>50</v>
      </c>
      <c r="G55" s="10" t="str">
        <f t="shared" si="3"/>
        <v>库存不足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</row>
    <row r="56" spans="1:69">
      <c r="A56" s="9"/>
      <c r="B56" s="9"/>
      <c r="C56" s="10">
        <f t="shared" si="0"/>
        <v>0</v>
      </c>
      <c r="D56" s="10">
        <f t="shared" si="1"/>
        <v>0</v>
      </c>
      <c r="E56" s="10">
        <f t="shared" si="2"/>
        <v>0</v>
      </c>
      <c r="F56" s="9">
        <v>50</v>
      </c>
      <c r="G56" s="10" t="str">
        <f t="shared" si="3"/>
        <v>库存不足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</row>
    <row r="57" spans="1:69">
      <c r="A57" s="9"/>
      <c r="B57" s="9"/>
      <c r="C57" s="10">
        <f t="shared" si="0"/>
        <v>0</v>
      </c>
      <c r="D57" s="10">
        <f t="shared" si="1"/>
        <v>0</v>
      </c>
      <c r="E57" s="10">
        <f t="shared" si="2"/>
        <v>0</v>
      </c>
      <c r="F57" s="9">
        <v>50</v>
      </c>
      <c r="G57" s="10" t="str">
        <f t="shared" si="3"/>
        <v>库存不足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</row>
    <row r="58" spans="1:69">
      <c r="A58" s="9"/>
      <c r="B58" s="9"/>
      <c r="C58" s="10">
        <f t="shared" si="0"/>
        <v>0</v>
      </c>
      <c r="D58" s="10">
        <f t="shared" si="1"/>
        <v>0</v>
      </c>
      <c r="E58" s="10">
        <f t="shared" si="2"/>
        <v>0</v>
      </c>
      <c r="F58" s="9">
        <v>50</v>
      </c>
      <c r="G58" s="10" t="str">
        <f t="shared" si="3"/>
        <v>库存不足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</row>
    <row r="59" spans="1:69">
      <c r="A59" s="9"/>
      <c r="B59" s="9"/>
      <c r="C59" s="10">
        <f t="shared" si="0"/>
        <v>0</v>
      </c>
      <c r="D59" s="10">
        <f t="shared" si="1"/>
        <v>0</v>
      </c>
      <c r="E59" s="10">
        <f t="shared" si="2"/>
        <v>0</v>
      </c>
      <c r="F59" s="9">
        <v>50</v>
      </c>
      <c r="G59" s="10" t="str">
        <f t="shared" si="3"/>
        <v>库存不足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</row>
    <row r="60" spans="1:69">
      <c r="A60" s="9"/>
      <c r="B60" s="9"/>
      <c r="C60" s="10">
        <f t="shared" si="0"/>
        <v>0</v>
      </c>
      <c r="D60" s="10">
        <f t="shared" si="1"/>
        <v>0</v>
      </c>
      <c r="E60" s="10">
        <f t="shared" si="2"/>
        <v>0</v>
      </c>
      <c r="F60" s="9">
        <v>50</v>
      </c>
      <c r="G60" s="10" t="str">
        <f t="shared" si="3"/>
        <v>库存不足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</row>
    <row r="61" spans="1:69">
      <c r="A61" s="9"/>
      <c r="B61" s="9"/>
      <c r="C61" s="10">
        <f t="shared" si="0"/>
        <v>0</v>
      </c>
      <c r="D61" s="10">
        <f t="shared" si="1"/>
        <v>0</v>
      </c>
      <c r="E61" s="10">
        <f t="shared" si="2"/>
        <v>0</v>
      </c>
      <c r="F61" s="9">
        <v>50</v>
      </c>
      <c r="G61" s="10" t="str">
        <f t="shared" si="3"/>
        <v>库存不足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</row>
    <row r="62" spans="1:69">
      <c r="A62" s="9"/>
      <c r="B62" s="9"/>
      <c r="C62" s="10">
        <f t="shared" si="0"/>
        <v>0</v>
      </c>
      <c r="D62" s="10">
        <f t="shared" si="1"/>
        <v>0</v>
      </c>
      <c r="E62" s="10">
        <f t="shared" si="2"/>
        <v>0</v>
      </c>
      <c r="F62" s="9">
        <v>50</v>
      </c>
      <c r="G62" s="10" t="str">
        <f t="shared" si="3"/>
        <v>库存不足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</row>
  </sheetData>
  <mergeCells count="38"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1:G46 L46 Q46 V46 AA46 AF46 AK46 AP46 G47:G1048576">
    <cfRule type="containsText" dxfId="0" priority="1" operator="between" text="库存不足">
      <formula>NOT(ISERROR(SEARCH("库存不足",G1)))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60"/>
  <sheetViews>
    <sheetView zoomScale="145" zoomScaleNormal="145" workbookViewId="0">
      <pane xSplit="7" ySplit="3" topLeftCell="H37" activePane="bottomRight" state="frozen"/>
      <selection/>
      <selection pane="topRight"/>
      <selection pane="bottomLeft"/>
      <selection pane="bottomRight" activeCell="A4" sqref="$A4:$XFD47"/>
    </sheetView>
  </sheetViews>
  <sheetFormatPr defaultColWidth="9" defaultRowHeight="14"/>
  <cols>
    <col min="1" max="1" width="44" customWidth="1"/>
    <col min="2" max="2" width="11.125"/>
    <col min="8" max="69" width="4.625" style="2" customWidth="1"/>
  </cols>
  <sheetData>
    <row r="1" s="1" customFormat="1" ht="27" customHeight="1" spans="1:69">
      <c r="A1" s="3" t="s">
        <v>42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/>
      <c r="D18" s="10"/>
      <c r="E18" s="10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/>
      <c r="C19" s="10"/>
      <c r="D19" s="10"/>
      <c r="E19" s="10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/>
      <c r="C20" s="10"/>
      <c r="D20" s="10"/>
      <c r="E20" s="10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/>
      <c r="C21" s="10"/>
      <c r="D21" s="10"/>
      <c r="E21" s="10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/>
      <c r="C22" s="10"/>
      <c r="D22" s="10"/>
      <c r="E22" s="10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/>
      <c r="D23" s="10"/>
      <c r="E23" s="10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10"/>
      <c r="D24" s="10"/>
      <c r="E24" s="10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10"/>
      <c r="D25" s="10"/>
      <c r="E25" s="10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10"/>
      <c r="D26" s="10"/>
      <c r="E26" s="10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10"/>
      <c r="D27" s="10"/>
      <c r="E27" s="10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9"/>
      <c r="B28" s="9"/>
      <c r="C28" s="10"/>
      <c r="D28" s="10"/>
      <c r="E28" s="10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>
      <c r="A29" s="9"/>
      <c r="B29" s="9"/>
      <c r="C29" s="10"/>
      <c r="D29" s="10"/>
      <c r="E29" s="10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>
      <c r="A30" s="9"/>
      <c r="B30" s="9"/>
      <c r="C30" s="10"/>
      <c r="D30" s="10"/>
      <c r="E30" s="10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>
      <c r="A31" s="9"/>
      <c r="B31" s="9"/>
      <c r="C31" s="10"/>
      <c r="D31" s="10"/>
      <c r="E31" s="10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>
      <c r="A32" s="9"/>
      <c r="B32" s="9"/>
      <c r="C32" s="10"/>
      <c r="D32" s="10"/>
      <c r="E32" s="10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>
      <c r="A33" s="9"/>
      <c r="B33" s="9"/>
      <c r="C33" s="10"/>
      <c r="D33" s="10"/>
      <c r="E33" s="10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>
      <c r="A34" s="9"/>
      <c r="B34" s="9"/>
      <c r="C34" s="10"/>
      <c r="D34" s="10"/>
      <c r="E34" s="10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>
      <c r="A35" s="9"/>
      <c r="B35" s="9"/>
      <c r="C35" s="10"/>
      <c r="D35" s="10"/>
      <c r="E35" s="10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>
      <c r="A36" s="9"/>
      <c r="B36" s="9"/>
      <c r="C36" s="10"/>
      <c r="D36" s="10"/>
      <c r="E36" s="10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>
      <c r="A37" s="9"/>
      <c r="B37" s="9"/>
      <c r="C37" s="10"/>
      <c r="D37" s="10"/>
      <c r="E37" s="10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>
      <c r="A38" s="9"/>
      <c r="B38" s="9"/>
      <c r="C38" s="10"/>
      <c r="D38" s="10"/>
      <c r="E38" s="10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>
      <c r="A39" s="9"/>
      <c r="B39" s="9"/>
      <c r="C39" s="10"/>
      <c r="D39" s="10"/>
      <c r="E39" s="10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>
      <c r="A40" s="9"/>
      <c r="B40" s="9"/>
      <c r="C40" s="10"/>
      <c r="D40" s="10"/>
      <c r="E40" s="10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>
      <c r="A41" s="9"/>
      <c r="B41" s="9"/>
      <c r="C41" s="10"/>
      <c r="D41" s="10"/>
      <c r="E41" s="10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>
      <c r="A42" s="9"/>
      <c r="B42" s="9"/>
      <c r="C42" s="10"/>
      <c r="D42" s="10"/>
      <c r="E42" s="10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>
      <c r="A43" s="9"/>
      <c r="B43" s="9"/>
      <c r="C43" s="10"/>
      <c r="D43" s="10"/>
      <c r="E43" s="10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>
      <c r="A44" s="9"/>
      <c r="B44" s="9"/>
      <c r="C44" s="10"/>
      <c r="D44" s="10"/>
      <c r="E44" s="10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>
      <c r="A45" s="9"/>
      <c r="B45" s="9"/>
      <c r="C45" s="10"/>
      <c r="D45" s="10"/>
      <c r="E45" s="10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>
      <c r="A46" s="9"/>
      <c r="B46" s="9"/>
      <c r="C46" s="10"/>
      <c r="D46" s="10"/>
      <c r="E46" s="10"/>
      <c r="F46" s="9"/>
      <c r="G46" s="10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10"/>
      <c r="D47" s="10"/>
      <c r="E47" s="10"/>
      <c r="F47" s="9"/>
      <c r="G47" s="10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  <row r="48" spans="1:69">
      <c r="A48" s="9"/>
      <c r="B48" s="9"/>
      <c r="C48" s="10">
        <f t="shared" ref="C48:C60" si="0">SUMIF($3:$3,"入库",48:48)</f>
        <v>0</v>
      </c>
      <c r="D48" s="10">
        <f t="shared" ref="D48:D60" si="1">SUMIF($3:$3,"出库",48:48)</f>
        <v>0</v>
      </c>
      <c r="E48" s="10">
        <f t="shared" ref="E48:E60" si="2">B48+C48-D48</f>
        <v>0</v>
      </c>
      <c r="F48" s="9">
        <v>50</v>
      </c>
      <c r="G48" s="10" t="str">
        <f t="shared" ref="G48:G60" si="3">IF(E48&lt;F48,"库存不足","库存充足")</f>
        <v>库存不足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69">
      <c r="A49" s="9"/>
      <c r="B49" s="9"/>
      <c r="C49" s="10">
        <f t="shared" si="0"/>
        <v>0</v>
      </c>
      <c r="D49" s="10">
        <f t="shared" si="1"/>
        <v>0</v>
      </c>
      <c r="E49" s="10">
        <f t="shared" si="2"/>
        <v>0</v>
      </c>
      <c r="F49" s="9">
        <v>50</v>
      </c>
      <c r="G49" s="10" t="str">
        <f t="shared" si="3"/>
        <v>库存不足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</row>
    <row r="50" spans="1:69">
      <c r="A50" s="9"/>
      <c r="B50" s="9"/>
      <c r="C50" s="10">
        <f t="shared" si="0"/>
        <v>0</v>
      </c>
      <c r="D50" s="10">
        <f t="shared" si="1"/>
        <v>0</v>
      </c>
      <c r="E50" s="10">
        <f t="shared" si="2"/>
        <v>0</v>
      </c>
      <c r="F50" s="9">
        <v>50</v>
      </c>
      <c r="G50" s="10" t="str">
        <f t="shared" si="3"/>
        <v>库存不足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</row>
    <row r="51" spans="1:69">
      <c r="A51" s="9"/>
      <c r="B51" s="9"/>
      <c r="C51" s="10">
        <f t="shared" si="0"/>
        <v>0</v>
      </c>
      <c r="D51" s="10">
        <f t="shared" si="1"/>
        <v>0</v>
      </c>
      <c r="E51" s="10">
        <f t="shared" si="2"/>
        <v>0</v>
      </c>
      <c r="F51" s="9">
        <v>50</v>
      </c>
      <c r="G51" s="10" t="str">
        <f t="shared" si="3"/>
        <v>库存不足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</row>
    <row r="52" spans="1:69">
      <c r="A52" s="9"/>
      <c r="B52" s="9"/>
      <c r="C52" s="10">
        <f t="shared" si="0"/>
        <v>0</v>
      </c>
      <c r="D52" s="10">
        <f t="shared" si="1"/>
        <v>0</v>
      </c>
      <c r="E52" s="10">
        <f t="shared" si="2"/>
        <v>0</v>
      </c>
      <c r="F52" s="9">
        <v>50</v>
      </c>
      <c r="G52" s="10" t="str">
        <f t="shared" si="3"/>
        <v>库存不足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</row>
    <row r="53" spans="1:69">
      <c r="A53" s="9"/>
      <c r="B53" s="9"/>
      <c r="C53" s="10">
        <f t="shared" si="0"/>
        <v>0</v>
      </c>
      <c r="D53" s="10">
        <f t="shared" si="1"/>
        <v>0</v>
      </c>
      <c r="E53" s="10">
        <f t="shared" si="2"/>
        <v>0</v>
      </c>
      <c r="F53" s="9">
        <v>50</v>
      </c>
      <c r="G53" s="10" t="str">
        <f t="shared" si="3"/>
        <v>库存不足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</row>
    <row r="54" spans="1:69">
      <c r="A54" s="9"/>
      <c r="B54" s="9"/>
      <c r="C54" s="10">
        <f t="shared" si="0"/>
        <v>0</v>
      </c>
      <c r="D54" s="10">
        <f t="shared" si="1"/>
        <v>0</v>
      </c>
      <c r="E54" s="10">
        <f t="shared" si="2"/>
        <v>0</v>
      </c>
      <c r="F54" s="9">
        <v>50</v>
      </c>
      <c r="G54" s="10" t="str">
        <f t="shared" si="3"/>
        <v>库存不足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</row>
    <row r="55" spans="1:69">
      <c r="A55" s="9"/>
      <c r="B55" s="9"/>
      <c r="C55" s="10">
        <f t="shared" si="0"/>
        <v>0</v>
      </c>
      <c r="D55" s="10">
        <f t="shared" si="1"/>
        <v>0</v>
      </c>
      <c r="E55" s="10">
        <f t="shared" si="2"/>
        <v>0</v>
      </c>
      <c r="F55" s="9">
        <v>50</v>
      </c>
      <c r="G55" s="10" t="str">
        <f t="shared" si="3"/>
        <v>库存不足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</row>
    <row r="56" spans="1:69">
      <c r="A56" s="9"/>
      <c r="B56" s="9"/>
      <c r="C56" s="10">
        <f t="shared" si="0"/>
        <v>0</v>
      </c>
      <c r="D56" s="10">
        <f t="shared" si="1"/>
        <v>0</v>
      </c>
      <c r="E56" s="10">
        <f t="shared" si="2"/>
        <v>0</v>
      </c>
      <c r="F56" s="9">
        <v>50</v>
      </c>
      <c r="G56" s="10" t="str">
        <f t="shared" si="3"/>
        <v>库存不足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</row>
    <row r="57" spans="1:69">
      <c r="A57" s="9"/>
      <c r="B57" s="9"/>
      <c r="C57" s="10">
        <f t="shared" si="0"/>
        <v>0</v>
      </c>
      <c r="D57" s="10">
        <f t="shared" si="1"/>
        <v>0</v>
      </c>
      <c r="E57" s="10">
        <f t="shared" si="2"/>
        <v>0</v>
      </c>
      <c r="F57" s="9">
        <v>50</v>
      </c>
      <c r="G57" s="10" t="str">
        <f t="shared" si="3"/>
        <v>库存不足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</row>
    <row r="58" spans="1:69">
      <c r="A58" s="9"/>
      <c r="B58" s="9"/>
      <c r="C58" s="10">
        <f t="shared" si="0"/>
        <v>0</v>
      </c>
      <c r="D58" s="10">
        <f t="shared" si="1"/>
        <v>0</v>
      </c>
      <c r="E58" s="10">
        <f t="shared" si="2"/>
        <v>0</v>
      </c>
      <c r="F58" s="9">
        <v>50</v>
      </c>
      <c r="G58" s="10" t="str">
        <f t="shared" si="3"/>
        <v>库存不足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</row>
    <row r="59" spans="1:69">
      <c r="A59" s="9"/>
      <c r="B59" s="9"/>
      <c r="C59" s="10">
        <f t="shared" si="0"/>
        <v>0</v>
      </c>
      <c r="D59" s="10">
        <f t="shared" si="1"/>
        <v>0</v>
      </c>
      <c r="E59" s="10">
        <f t="shared" si="2"/>
        <v>0</v>
      </c>
      <c r="F59" s="9">
        <v>50</v>
      </c>
      <c r="G59" s="10" t="str">
        <f t="shared" si="3"/>
        <v>库存不足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</row>
    <row r="60" spans="1:69">
      <c r="A60" s="9"/>
      <c r="B60" s="9"/>
      <c r="C60" s="10">
        <f t="shared" si="0"/>
        <v>0</v>
      </c>
      <c r="D60" s="10">
        <f t="shared" si="1"/>
        <v>0</v>
      </c>
      <c r="E60" s="10">
        <f t="shared" si="2"/>
        <v>0</v>
      </c>
      <c r="F60" s="9">
        <v>50</v>
      </c>
      <c r="G60" s="10" t="str">
        <f t="shared" si="3"/>
        <v>库存不足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60"/>
  <sheetViews>
    <sheetView workbookViewId="0">
      <pane xSplit="7" ySplit="3" topLeftCell="H25" activePane="bottomRight" state="frozen"/>
      <selection/>
      <selection pane="topRight"/>
      <selection pane="bottomLeft"/>
      <selection pane="bottomRight" activeCell="A4" sqref="$A4:$XFD50"/>
    </sheetView>
  </sheetViews>
  <sheetFormatPr defaultColWidth="9" defaultRowHeight="14"/>
  <cols>
    <col min="1" max="1" width="42.375" customWidth="1"/>
    <col min="2" max="2" width="10.5" customWidth="1"/>
    <col min="8" max="69" width="4.625" style="2" customWidth="1"/>
  </cols>
  <sheetData>
    <row r="1" s="1" customFormat="1" ht="27" customHeight="1" spans="1:69">
      <c r="A1" s="3" t="s">
        <v>43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/>
      <c r="D18" s="10"/>
      <c r="E18" s="10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/>
      <c r="C19" s="10"/>
      <c r="D19" s="10"/>
      <c r="E19" s="10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/>
      <c r="C20" s="10"/>
      <c r="D20" s="10"/>
      <c r="E20" s="10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/>
      <c r="C21" s="10"/>
      <c r="D21" s="10"/>
      <c r="E21" s="10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/>
      <c r="C22" s="10"/>
      <c r="D22" s="10"/>
      <c r="E22" s="10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/>
      <c r="D23" s="10"/>
      <c r="E23" s="10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10"/>
      <c r="D24" s="10"/>
      <c r="E24" s="10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10"/>
      <c r="D25" s="10"/>
      <c r="E25" s="10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10"/>
      <c r="D26" s="10"/>
      <c r="E26" s="10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10"/>
      <c r="D27" s="10"/>
      <c r="E27" s="10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9"/>
      <c r="B28" s="9"/>
      <c r="C28" s="10"/>
      <c r="D28" s="10"/>
      <c r="E28" s="10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>
      <c r="A29" s="9"/>
      <c r="B29" s="9"/>
      <c r="C29" s="10"/>
      <c r="D29" s="10"/>
      <c r="E29" s="10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>
      <c r="A30" s="9"/>
      <c r="B30" s="9"/>
      <c r="C30" s="10"/>
      <c r="D30" s="10"/>
      <c r="E30" s="10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>
      <c r="A31" s="9"/>
      <c r="B31" s="9"/>
      <c r="C31" s="10"/>
      <c r="D31" s="10"/>
      <c r="E31" s="10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>
      <c r="A32" s="9"/>
      <c r="B32" s="9"/>
      <c r="C32" s="10"/>
      <c r="D32" s="10"/>
      <c r="E32" s="10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>
      <c r="A33" s="9"/>
      <c r="B33" s="9"/>
      <c r="C33" s="10"/>
      <c r="D33" s="10"/>
      <c r="E33" s="10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>
      <c r="A34" s="9"/>
      <c r="B34" s="9"/>
      <c r="C34" s="10"/>
      <c r="D34" s="10"/>
      <c r="E34" s="10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>
      <c r="A35" s="9"/>
      <c r="B35" s="9"/>
      <c r="C35" s="10"/>
      <c r="D35" s="10"/>
      <c r="E35" s="10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>
      <c r="A36" s="9"/>
      <c r="B36" s="9"/>
      <c r="C36" s="10"/>
      <c r="D36" s="10"/>
      <c r="E36" s="10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>
      <c r="A37" s="9"/>
      <c r="B37" s="9"/>
      <c r="C37" s="10"/>
      <c r="D37" s="10"/>
      <c r="E37" s="10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>
      <c r="A38" s="9"/>
      <c r="B38" s="9"/>
      <c r="C38" s="10"/>
      <c r="D38" s="10"/>
      <c r="E38" s="10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>
      <c r="A39" s="9"/>
      <c r="B39" s="9"/>
      <c r="C39" s="10"/>
      <c r="D39" s="10"/>
      <c r="E39" s="10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>
      <c r="A40" s="9"/>
      <c r="B40" s="9"/>
      <c r="C40" s="10"/>
      <c r="D40" s="10"/>
      <c r="E40" s="10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>
      <c r="A41" s="9"/>
      <c r="B41" s="9"/>
      <c r="C41" s="10"/>
      <c r="D41" s="10"/>
      <c r="E41" s="10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>
      <c r="A42" s="9"/>
      <c r="B42" s="9"/>
      <c r="C42" s="10"/>
      <c r="D42" s="10"/>
      <c r="E42" s="10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>
      <c r="A43" s="9"/>
      <c r="B43" s="9"/>
      <c r="C43" s="10"/>
      <c r="D43" s="10"/>
      <c r="E43" s="10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>
      <c r="A44" s="9"/>
      <c r="B44" s="9"/>
      <c r="C44" s="10"/>
      <c r="D44" s="10"/>
      <c r="E44" s="10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>
      <c r="A45" s="9"/>
      <c r="B45" s="9"/>
      <c r="C45" s="10"/>
      <c r="D45" s="10"/>
      <c r="E45" s="10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>
      <c r="A46" s="9"/>
      <c r="B46" s="9"/>
      <c r="C46" s="10"/>
      <c r="D46" s="10"/>
      <c r="E46" s="10"/>
      <c r="F46" s="9"/>
      <c r="G46" s="10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10"/>
      <c r="D47" s="10"/>
      <c r="E47" s="10"/>
      <c r="F47" s="9"/>
      <c r="G47" s="10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  <row r="48" spans="1:69">
      <c r="A48" s="9"/>
      <c r="B48" s="9"/>
      <c r="C48" s="10"/>
      <c r="D48" s="10"/>
      <c r="E48" s="10"/>
      <c r="F48" s="9"/>
      <c r="G48" s="10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69">
      <c r="A49" s="9"/>
      <c r="B49" s="9"/>
      <c r="C49" s="10"/>
      <c r="D49" s="10"/>
      <c r="E49" s="10"/>
      <c r="F49" s="9"/>
      <c r="G49" s="10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</row>
    <row r="50" spans="1:69">
      <c r="A50" s="9"/>
      <c r="B50" s="9"/>
      <c r="C50" s="10"/>
      <c r="D50" s="10"/>
      <c r="E50" s="10"/>
      <c r="F50" s="9"/>
      <c r="G50" s="10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</row>
    <row r="51" spans="1:69">
      <c r="A51" s="9"/>
      <c r="B51" s="9"/>
      <c r="C51" s="10">
        <f t="shared" ref="C49:C60" si="0">SUMIF($3:$3,"入库",51:51)</f>
        <v>0</v>
      </c>
      <c r="D51" s="10">
        <f t="shared" ref="D49:D60" si="1">SUMIF($3:$3,"出库",51:51)</f>
        <v>0</v>
      </c>
      <c r="E51" s="10">
        <f t="shared" ref="E49:E60" si="2">B51+C51-D51</f>
        <v>0</v>
      </c>
      <c r="F51" s="9">
        <v>50</v>
      </c>
      <c r="G51" s="10" t="str">
        <f>IF(E51&lt;F51,"库存不足","库存充足")</f>
        <v>库存不足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</row>
    <row r="52" spans="1:69">
      <c r="A52" s="9"/>
      <c r="B52" s="9"/>
      <c r="C52" s="10">
        <f t="shared" si="0"/>
        <v>0</v>
      </c>
      <c r="D52" s="10">
        <f t="shared" si="1"/>
        <v>0</v>
      </c>
      <c r="E52" s="10">
        <f t="shared" si="2"/>
        <v>0</v>
      </c>
      <c r="F52" s="9">
        <v>50</v>
      </c>
      <c r="G52" s="10" t="str">
        <f>IF(E52&lt;F52,"库存不足","库存充足")</f>
        <v>库存不足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</row>
    <row r="53" spans="1:69">
      <c r="A53" s="9"/>
      <c r="B53" s="9"/>
      <c r="C53" s="10">
        <f t="shared" si="0"/>
        <v>0</v>
      </c>
      <c r="D53" s="10">
        <f t="shared" si="1"/>
        <v>0</v>
      </c>
      <c r="E53" s="10">
        <f t="shared" si="2"/>
        <v>0</v>
      </c>
      <c r="F53" s="9">
        <v>50</v>
      </c>
      <c r="G53" s="10" t="str">
        <f>IF(E53&lt;F53,"库存不足","库存充足")</f>
        <v>库存不足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</row>
    <row r="54" spans="1:69">
      <c r="A54" s="9"/>
      <c r="B54" s="9"/>
      <c r="C54" s="10">
        <f t="shared" si="0"/>
        <v>0</v>
      </c>
      <c r="D54" s="10">
        <f t="shared" si="1"/>
        <v>0</v>
      </c>
      <c r="E54" s="10">
        <f t="shared" si="2"/>
        <v>0</v>
      </c>
      <c r="F54" s="9">
        <v>50</v>
      </c>
      <c r="G54" s="10" t="str">
        <f>IF(E54&lt;F54,"库存不足","库存充足")</f>
        <v>库存不足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</row>
    <row r="55" spans="1:69">
      <c r="A55" s="9"/>
      <c r="B55" s="9"/>
      <c r="C55" s="10">
        <f t="shared" si="0"/>
        <v>0</v>
      </c>
      <c r="D55" s="10">
        <f t="shared" si="1"/>
        <v>0</v>
      </c>
      <c r="E55" s="10">
        <f t="shared" si="2"/>
        <v>0</v>
      </c>
      <c r="F55" s="9">
        <v>50</v>
      </c>
      <c r="G55" s="10" t="str">
        <f>IF(E55&lt;F55,"库存不足","库存充足")</f>
        <v>库存不足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</row>
    <row r="56" spans="1:69">
      <c r="A56" s="9"/>
      <c r="B56" s="9"/>
      <c r="C56" s="10">
        <f t="shared" si="0"/>
        <v>0</v>
      </c>
      <c r="D56" s="10">
        <f t="shared" si="1"/>
        <v>0</v>
      </c>
      <c r="E56" s="10">
        <f t="shared" si="2"/>
        <v>0</v>
      </c>
      <c r="F56" s="9">
        <v>50</v>
      </c>
      <c r="G56" s="10" t="str">
        <f>IF(E56&lt;F56,"库存不足","库存充足")</f>
        <v>库存不足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</row>
    <row r="57" spans="1:69">
      <c r="A57" s="9"/>
      <c r="B57" s="9"/>
      <c r="C57" s="10">
        <f t="shared" si="0"/>
        <v>0</v>
      </c>
      <c r="D57" s="10">
        <f t="shared" si="1"/>
        <v>0</v>
      </c>
      <c r="E57" s="10">
        <f t="shared" si="2"/>
        <v>0</v>
      </c>
      <c r="F57" s="9">
        <v>50</v>
      </c>
      <c r="G57" s="10" t="str">
        <f>IF(E57&lt;F57,"库存不足","库存充足")</f>
        <v>库存不足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</row>
    <row r="58" spans="1:69">
      <c r="A58" s="9"/>
      <c r="B58" s="9"/>
      <c r="C58" s="10">
        <f t="shared" si="0"/>
        <v>0</v>
      </c>
      <c r="D58" s="10">
        <f t="shared" si="1"/>
        <v>0</v>
      </c>
      <c r="E58" s="10">
        <f t="shared" si="2"/>
        <v>0</v>
      </c>
      <c r="F58" s="9">
        <v>50</v>
      </c>
      <c r="G58" s="10" t="str">
        <f>IF(E58&lt;F58,"库存不足","库存充足")</f>
        <v>库存不足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</row>
    <row r="59" spans="1:69">
      <c r="A59" s="9"/>
      <c r="B59" s="9"/>
      <c r="C59" s="10">
        <f t="shared" si="0"/>
        <v>0</v>
      </c>
      <c r="D59" s="10">
        <f t="shared" si="1"/>
        <v>0</v>
      </c>
      <c r="E59" s="10">
        <f t="shared" si="2"/>
        <v>0</v>
      </c>
      <c r="F59" s="9">
        <v>50</v>
      </c>
      <c r="G59" s="10" t="str">
        <f>IF(E59&lt;F59,"库存不足","库存充足")</f>
        <v>库存不足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</row>
    <row r="60" spans="1:69">
      <c r="A60" s="9"/>
      <c r="B60" s="9"/>
      <c r="C60" s="10">
        <f t="shared" si="0"/>
        <v>0</v>
      </c>
      <c r="D60" s="10">
        <f t="shared" si="1"/>
        <v>0</v>
      </c>
      <c r="E60" s="10">
        <f t="shared" si="2"/>
        <v>0</v>
      </c>
      <c r="F60" s="9">
        <v>50</v>
      </c>
      <c r="G60" s="10" t="str">
        <f>IF(E60&lt;F60,"库存不足","库存充足")</f>
        <v>库存不足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48">
    <cfRule type="containsText" dxfId="0" priority="1" operator="between" text="库存不足">
      <formula>NOT(ISERROR(SEARCH("库存不足",G48)))</formula>
    </cfRule>
  </conditionalFormatting>
  <conditionalFormatting sqref="G2:G47 G49:G1048576">
    <cfRule type="containsText" dxfId="0" priority="2" operator="between" text="库存不足">
      <formula>NOT(ISERROR(SEARCH("库存不足",G2)))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9"/>
  <sheetViews>
    <sheetView workbookViewId="0">
      <pane xSplit="7" ySplit="3" topLeftCell="H24" activePane="bottomRight" state="frozen"/>
      <selection/>
      <selection pane="topRight"/>
      <selection pane="bottomLeft"/>
      <selection pane="bottomRight" activeCell="A4" sqref="$A4:$XFD50"/>
    </sheetView>
  </sheetViews>
  <sheetFormatPr defaultColWidth="9" defaultRowHeight="14"/>
  <cols>
    <col min="1" max="1" width="44.25" customWidth="1"/>
    <col min="2" max="2" width="10" customWidth="1"/>
    <col min="8" max="69" width="4.625" style="2" customWidth="1"/>
  </cols>
  <sheetData>
    <row r="1" s="1" customFormat="1" ht="27" customHeight="1" spans="1:69">
      <c r="A1" s="3" t="s">
        <v>44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0"/>
      <c r="I12" s="10"/>
      <c r="J12" s="9"/>
      <c r="K12" s="10"/>
      <c r="L12" s="10"/>
      <c r="M12" s="11"/>
      <c r="N12" s="9"/>
      <c r="O12" s="11"/>
      <c r="P12" s="10"/>
      <c r="Q12" s="11"/>
      <c r="R12" s="9"/>
      <c r="S12" s="10"/>
      <c r="T12" s="10"/>
      <c r="U12" s="10"/>
      <c r="V12" s="9"/>
      <c r="W12" s="10"/>
      <c r="X12" s="10"/>
      <c r="Y12" s="10"/>
      <c r="Z12" s="9"/>
      <c r="AA12" s="10"/>
      <c r="AB12" s="10"/>
      <c r="AC12" s="10"/>
      <c r="AD12" s="9"/>
      <c r="AE12" s="10"/>
      <c r="AF12" s="10"/>
      <c r="AG12" s="10"/>
      <c r="AH12" s="9"/>
      <c r="AI12" s="10"/>
      <c r="AJ12" s="10"/>
      <c r="AK12" s="10"/>
      <c r="AL12" s="9"/>
      <c r="AM12" s="10"/>
      <c r="AN12" s="10"/>
      <c r="AO12" s="10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/>
      <c r="D18" s="10"/>
      <c r="E18" s="10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/>
      <c r="C19" s="10"/>
      <c r="D19" s="10"/>
      <c r="E19" s="10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/>
      <c r="C20" s="10"/>
      <c r="D20" s="10"/>
      <c r="E20" s="10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9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/>
      <c r="C21" s="10"/>
      <c r="D21" s="10"/>
      <c r="E21" s="10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9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/>
      <c r="C22" s="10"/>
      <c r="D22" s="10"/>
      <c r="E22" s="10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9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/>
      <c r="D23" s="10"/>
      <c r="E23" s="10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9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10"/>
      <c r="D24" s="10"/>
      <c r="E24" s="10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9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10"/>
      <c r="D25" s="10"/>
      <c r="E25" s="10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10"/>
      <c r="D26" s="10"/>
      <c r="E26" s="10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10"/>
      <c r="D27" s="10"/>
      <c r="E27" s="10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9"/>
      <c r="B28" s="9"/>
      <c r="C28" s="10"/>
      <c r="D28" s="10"/>
      <c r="E28" s="10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>
      <c r="A29" s="9"/>
      <c r="B29" s="9"/>
      <c r="C29" s="10"/>
      <c r="D29" s="10"/>
      <c r="E29" s="10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>
      <c r="A30" s="9"/>
      <c r="B30" s="9"/>
      <c r="C30" s="10"/>
      <c r="D30" s="10"/>
      <c r="E30" s="10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>
      <c r="A31" s="9"/>
      <c r="B31" s="9"/>
      <c r="C31" s="10"/>
      <c r="D31" s="10"/>
      <c r="E31" s="10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>
      <c r="A32" s="9"/>
      <c r="B32" s="9"/>
      <c r="C32" s="10"/>
      <c r="D32" s="10"/>
      <c r="E32" s="10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>
      <c r="A33" s="9"/>
      <c r="B33" s="9"/>
      <c r="C33" s="10"/>
      <c r="D33" s="10"/>
      <c r="E33" s="10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>
      <c r="A34" s="9"/>
      <c r="B34" s="9"/>
      <c r="C34" s="10"/>
      <c r="D34" s="10"/>
      <c r="E34" s="10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>
      <c r="A35" s="9"/>
      <c r="B35" s="9"/>
      <c r="C35" s="10"/>
      <c r="D35" s="10"/>
      <c r="E35" s="10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>
      <c r="A36" s="9"/>
      <c r="B36" s="9"/>
      <c r="C36" s="10"/>
      <c r="D36" s="10"/>
      <c r="E36" s="10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>
      <c r="A37" s="9"/>
      <c r="B37" s="9"/>
      <c r="C37" s="10"/>
      <c r="D37" s="10"/>
      <c r="E37" s="10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>
      <c r="A38" s="9"/>
      <c r="B38" s="9"/>
      <c r="C38" s="10"/>
      <c r="D38" s="10"/>
      <c r="E38" s="10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>
      <c r="A39" s="9"/>
      <c r="B39" s="9"/>
      <c r="C39" s="10"/>
      <c r="D39" s="10"/>
      <c r="E39" s="10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>
      <c r="A40" s="9"/>
      <c r="B40" s="9"/>
      <c r="C40" s="10"/>
      <c r="D40" s="10"/>
      <c r="E40" s="10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>
      <c r="A41" s="9"/>
      <c r="B41" s="9"/>
      <c r="C41" s="10"/>
      <c r="D41" s="10"/>
      <c r="E41" s="10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>
      <c r="A42" s="9"/>
      <c r="B42" s="9"/>
      <c r="C42" s="10"/>
      <c r="D42" s="10"/>
      <c r="E42" s="10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>
      <c r="A43" s="9"/>
      <c r="B43" s="9"/>
      <c r="C43" s="10"/>
      <c r="D43" s="10"/>
      <c r="E43" s="10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>
      <c r="A44" s="9"/>
      <c r="B44" s="9"/>
      <c r="C44" s="10"/>
      <c r="D44" s="10"/>
      <c r="E44" s="10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>
      <c r="A45" s="9"/>
      <c r="B45" s="9"/>
      <c r="C45" s="10"/>
      <c r="D45" s="10"/>
      <c r="E45" s="10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>
      <c r="A46" s="9"/>
      <c r="B46" s="9"/>
      <c r="C46" s="10"/>
      <c r="D46" s="10"/>
      <c r="E46" s="10"/>
      <c r="F46" s="9"/>
      <c r="G46" s="10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10"/>
      <c r="D47" s="10"/>
      <c r="E47" s="10"/>
      <c r="F47" s="9"/>
      <c r="G47" s="10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  <row r="48" spans="1:69">
      <c r="A48" s="9"/>
      <c r="B48" s="9"/>
      <c r="C48" s="10"/>
      <c r="D48" s="10"/>
      <c r="E48" s="10"/>
      <c r="F48" s="9"/>
      <c r="G48" s="10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69">
      <c r="A49" s="9"/>
      <c r="B49" s="9"/>
      <c r="C49" s="10"/>
      <c r="D49" s="10"/>
      <c r="E49" s="10"/>
      <c r="F49" s="9"/>
      <c r="G49" s="10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</row>
    <row r="50" spans="1:69">
      <c r="A50" s="9"/>
      <c r="B50" s="9"/>
      <c r="C50" s="10"/>
      <c r="D50" s="10"/>
      <c r="E50" s="10"/>
      <c r="F50" s="9"/>
      <c r="G50" s="10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</row>
    <row r="51" spans="1:69">
      <c r="A51" s="9"/>
      <c r="B51" s="9"/>
      <c r="C51" s="10">
        <f>SUMIF($3:$3,"入库",51:51)</f>
        <v>0</v>
      </c>
      <c r="D51" s="10">
        <f>SUMIF($3:$3,"出库",51:51)</f>
        <v>0</v>
      </c>
      <c r="E51" s="10">
        <f>B51+C51-D51</f>
        <v>0</v>
      </c>
      <c r="F51" s="9">
        <v>50</v>
      </c>
      <c r="G51" s="10" t="str">
        <f>IF(E51&lt;F51,"库存不足","库存充足")</f>
        <v>库存不足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</row>
    <row r="52" spans="1:69">
      <c r="A52" s="9"/>
      <c r="B52" s="9"/>
      <c r="C52" s="10">
        <f>SUMIF($3:$3,"入库",52:52)</f>
        <v>0</v>
      </c>
      <c r="D52" s="10">
        <f>SUMIF($3:$3,"出库",52:52)</f>
        <v>0</v>
      </c>
      <c r="E52" s="10">
        <f>B52+C52-D52</f>
        <v>0</v>
      </c>
      <c r="F52" s="9">
        <v>50</v>
      </c>
      <c r="G52" s="10" t="str">
        <f>IF(E52&lt;F52,"库存不足","库存充足")</f>
        <v>库存不足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</row>
    <row r="53" spans="1:69">
      <c r="A53" s="9"/>
      <c r="B53" s="9"/>
      <c r="C53" s="10">
        <f>SUMIF($3:$3,"入库",53:53)</f>
        <v>0</v>
      </c>
      <c r="D53" s="10">
        <f>SUMIF($3:$3,"出库",53:53)</f>
        <v>0</v>
      </c>
      <c r="E53" s="10">
        <f>B53+C53-D53</f>
        <v>0</v>
      </c>
      <c r="F53" s="9">
        <v>50</v>
      </c>
      <c r="G53" s="10" t="str">
        <f>IF(E53&lt;F53,"库存不足","库存充足")</f>
        <v>库存不足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</row>
    <row r="54" spans="1:69">
      <c r="A54" s="9"/>
      <c r="B54" s="9"/>
      <c r="C54" s="10">
        <f>SUMIF($3:$3,"入库",54:54)</f>
        <v>0</v>
      </c>
      <c r="D54" s="10">
        <f>SUMIF($3:$3,"出库",54:54)</f>
        <v>0</v>
      </c>
      <c r="E54" s="10">
        <f>B54+C54-D54</f>
        <v>0</v>
      </c>
      <c r="F54" s="9">
        <v>50</v>
      </c>
      <c r="G54" s="10" t="str">
        <f>IF(E54&lt;F54,"库存不足","库存充足")</f>
        <v>库存不足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</row>
    <row r="55" spans="1:69">
      <c r="A55" s="9"/>
      <c r="B55" s="9"/>
      <c r="C55" s="10">
        <f>SUMIF($3:$3,"入库",55:55)</f>
        <v>0</v>
      </c>
      <c r="D55" s="10">
        <f>SUMIF($3:$3,"出库",55:55)</f>
        <v>0</v>
      </c>
      <c r="E55" s="10">
        <f>B55+C55-D55</f>
        <v>0</v>
      </c>
      <c r="F55" s="9">
        <v>50</v>
      </c>
      <c r="G55" s="10" t="str">
        <f>IF(E55&lt;F55,"库存不足","库存充足")</f>
        <v>库存不足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</row>
    <row r="56" spans="1:69">
      <c r="A56" s="9"/>
      <c r="B56" s="9"/>
      <c r="C56" s="10">
        <f>SUMIF($3:$3,"入库",56:56)</f>
        <v>0</v>
      </c>
      <c r="D56" s="10">
        <f>SUMIF($3:$3,"出库",56:56)</f>
        <v>0</v>
      </c>
      <c r="E56" s="10">
        <f>B56+C56-D56</f>
        <v>0</v>
      </c>
      <c r="F56" s="9">
        <v>50</v>
      </c>
      <c r="G56" s="10" t="str">
        <f>IF(E56&lt;F56,"库存不足","库存充足")</f>
        <v>库存不足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</row>
    <row r="57" spans="1:69">
      <c r="A57" s="9"/>
      <c r="B57" s="9"/>
      <c r="C57" s="10">
        <f>SUMIF($3:$3,"入库",57:57)</f>
        <v>0</v>
      </c>
      <c r="D57" s="10">
        <f>SUMIF($3:$3,"出库",57:57)</f>
        <v>0</v>
      </c>
      <c r="E57" s="10">
        <f>B57+C57-D57</f>
        <v>0</v>
      </c>
      <c r="F57" s="9">
        <v>50</v>
      </c>
      <c r="G57" s="10" t="str">
        <f>IF(E57&lt;F57,"库存不足","库存充足")</f>
        <v>库存不足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</row>
    <row r="58" spans="1:69">
      <c r="A58" s="9"/>
      <c r="B58" s="9"/>
      <c r="C58" s="10">
        <f>SUMIF($3:$3,"入库",58:58)</f>
        <v>0</v>
      </c>
      <c r="D58" s="10">
        <f>SUMIF($3:$3,"出库",58:58)</f>
        <v>0</v>
      </c>
      <c r="E58" s="10">
        <f>B58+C58-D58</f>
        <v>0</v>
      </c>
      <c r="F58" s="9">
        <v>50</v>
      </c>
      <c r="G58" s="10" t="str">
        <f>IF(E58&lt;F58,"库存不足","库存充足")</f>
        <v>库存不足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</row>
    <row r="59" spans="1:69">
      <c r="A59" s="21"/>
      <c r="B59" s="21"/>
      <c r="C59" s="21"/>
      <c r="D59" s="21"/>
      <c r="E59" s="21"/>
      <c r="F59" s="21"/>
      <c r="G59" s="2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7"/>
  <sheetViews>
    <sheetView workbookViewId="0">
      <pane xSplit="7" ySplit="3" topLeftCell="H24" activePane="bottomRight" state="frozen"/>
      <selection/>
      <selection pane="topRight"/>
      <selection pane="bottomLeft"/>
      <selection pane="bottomRight" activeCell="A4" sqref="$A4:$XFD45"/>
    </sheetView>
  </sheetViews>
  <sheetFormatPr defaultColWidth="9" defaultRowHeight="14"/>
  <cols>
    <col min="1" max="1" width="44.4107142857143" customWidth="1"/>
    <col min="2" max="2" width="8.26785714285714" customWidth="1"/>
    <col min="3" max="3" width="9.16964285714286" customWidth="1"/>
    <col min="4" max="4" width="11.0982142857143" customWidth="1"/>
    <col min="5" max="5" width="9.9375" customWidth="1"/>
    <col min="6" max="6" width="4.66964285714286" customWidth="1"/>
    <col min="8" max="69" width="4.625" style="2" customWidth="1"/>
  </cols>
  <sheetData>
    <row r="1" s="1" customFormat="1" ht="27" customHeight="1" spans="1:69">
      <c r="A1" s="13" t="s">
        <v>45</v>
      </c>
      <c r="B1" s="13"/>
      <c r="C1" s="13"/>
      <c r="D1" s="13"/>
      <c r="E1" s="13"/>
      <c r="F1" s="13"/>
      <c r="G1" s="13"/>
    </row>
    <row r="2" spans="1:69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5" t="s">
        <v>8</v>
      </c>
      <c r="I2" s="16"/>
      <c r="J2" s="15" t="s">
        <v>9</v>
      </c>
      <c r="K2" s="16"/>
      <c r="L2" s="15" t="s">
        <v>10</v>
      </c>
      <c r="M2" s="16"/>
      <c r="N2" s="15" t="s">
        <v>11</v>
      </c>
      <c r="O2" s="16"/>
      <c r="P2" s="15" t="s">
        <v>12</v>
      </c>
      <c r="Q2" s="16"/>
      <c r="R2" s="15" t="s">
        <v>13</v>
      </c>
      <c r="S2" s="16"/>
      <c r="T2" s="15" t="s">
        <v>14</v>
      </c>
      <c r="U2" s="16"/>
      <c r="V2" s="15" t="s">
        <v>15</v>
      </c>
      <c r="W2" s="16"/>
      <c r="X2" s="15" t="s">
        <v>16</v>
      </c>
      <c r="Y2" s="16"/>
      <c r="Z2" s="15" t="s">
        <v>17</v>
      </c>
      <c r="AA2" s="16"/>
      <c r="AB2" s="15" t="s">
        <v>18</v>
      </c>
      <c r="AC2" s="16"/>
      <c r="AD2" s="15" t="s">
        <v>19</v>
      </c>
      <c r="AE2" s="16"/>
      <c r="AF2" s="15" t="s">
        <v>20</v>
      </c>
      <c r="AG2" s="16"/>
      <c r="AH2" s="15" t="s">
        <v>21</v>
      </c>
      <c r="AI2" s="16"/>
      <c r="AJ2" s="15" t="s">
        <v>22</v>
      </c>
      <c r="AK2" s="16"/>
      <c r="AL2" s="15" t="s">
        <v>23</v>
      </c>
      <c r="AM2" s="16"/>
      <c r="AN2" s="15" t="s">
        <v>24</v>
      </c>
      <c r="AO2" s="16"/>
      <c r="AP2" s="15" t="s">
        <v>25</v>
      </c>
      <c r="AQ2" s="16"/>
      <c r="AR2" s="15" t="s">
        <v>26</v>
      </c>
      <c r="AS2" s="16"/>
      <c r="AT2" s="15" t="s">
        <v>27</v>
      </c>
      <c r="AU2" s="16"/>
      <c r="AV2" s="15" t="s">
        <v>28</v>
      </c>
      <c r="AW2" s="16"/>
      <c r="AX2" s="15" t="s">
        <v>29</v>
      </c>
      <c r="AY2" s="16"/>
      <c r="AZ2" s="15" t="s">
        <v>30</v>
      </c>
      <c r="BA2" s="16"/>
      <c r="BB2" s="15" t="s">
        <v>31</v>
      </c>
      <c r="BC2" s="16"/>
      <c r="BD2" s="15" t="s">
        <v>32</v>
      </c>
      <c r="BE2" s="16"/>
      <c r="BF2" s="15" t="s">
        <v>33</v>
      </c>
      <c r="BG2" s="16"/>
      <c r="BH2" s="15" t="s">
        <v>34</v>
      </c>
      <c r="BI2" s="16"/>
      <c r="BJ2" s="15" t="s">
        <v>35</v>
      </c>
      <c r="BK2" s="16"/>
      <c r="BL2" s="15" t="s">
        <v>36</v>
      </c>
      <c r="BM2" s="16"/>
      <c r="BN2" s="15" t="s">
        <v>37</v>
      </c>
      <c r="BO2" s="16"/>
      <c r="BP2" s="15" t="s">
        <v>38</v>
      </c>
      <c r="BQ2" s="16"/>
    </row>
    <row r="3" spans="1:69">
      <c r="A3" s="14"/>
      <c r="B3" s="14"/>
      <c r="C3" s="14"/>
      <c r="D3" s="14"/>
      <c r="E3" s="14"/>
      <c r="F3" s="14"/>
      <c r="G3" s="14"/>
      <c r="H3" s="17" t="s">
        <v>39</v>
      </c>
      <c r="I3" s="17" t="s">
        <v>40</v>
      </c>
      <c r="J3" s="17" t="s">
        <v>39</v>
      </c>
      <c r="K3" s="17" t="s">
        <v>40</v>
      </c>
      <c r="L3" s="17" t="s">
        <v>39</v>
      </c>
      <c r="M3" s="17" t="s">
        <v>40</v>
      </c>
      <c r="N3" s="17" t="s">
        <v>39</v>
      </c>
      <c r="O3" s="17" t="s">
        <v>40</v>
      </c>
      <c r="P3" s="17" t="s">
        <v>39</v>
      </c>
      <c r="Q3" s="17" t="s">
        <v>40</v>
      </c>
      <c r="R3" s="17" t="s">
        <v>39</v>
      </c>
      <c r="S3" s="17" t="s">
        <v>40</v>
      </c>
      <c r="T3" s="17" t="s">
        <v>39</v>
      </c>
      <c r="U3" s="17" t="s">
        <v>40</v>
      </c>
      <c r="V3" s="17" t="s">
        <v>39</v>
      </c>
      <c r="W3" s="17" t="s">
        <v>40</v>
      </c>
      <c r="X3" s="17" t="s">
        <v>39</v>
      </c>
      <c r="Y3" s="17" t="s">
        <v>40</v>
      </c>
      <c r="Z3" s="17" t="s">
        <v>39</v>
      </c>
      <c r="AA3" s="17" t="s">
        <v>40</v>
      </c>
      <c r="AB3" s="17" t="s">
        <v>39</v>
      </c>
      <c r="AC3" s="17" t="s">
        <v>40</v>
      </c>
      <c r="AD3" s="17" t="s">
        <v>39</v>
      </c>
      <c r="AE3" s="17" t="s">
        <v>40</v>
      </c>
      <c r="AF3" s="17" t="s">
        <v>39</v>
      </c>
      <c r="AG3" s="17" t="s">
        <v>40</v>
      </c>
      <c r="AH3" s="17" t="s">
        <v>39</v>
      </c>
      <c r="AI3" s="17" t="s">
        <v>40</v>
      </c>
      <c r="AJ3" s="17" t="s">
        <v>39</v>
      </c>
      <c r="AK3" s="17" t="s">
        <v>40</v>
      </c>
      <c r="AL3" s="17" t="s">
        <v>39</v>
      </c>
      <c r="AM3" s="17" t="s">
        <v>40</v>
      </c>
      <c r="AN3" s="17" t="s">
        <v>39</v>
      </c>
      <c r="AO3" s="17" t="s">
        <v>40</v>
      </c>
      <c r="AP3" s="17" t="s">
        <v>39</v>
      </c>
      <c r="AQ3" s="17" t="s">
        <v>40</v>
      </c>
      <c r="AR3" s="17" t="s">
        <v>39</v>
      </c>
      <c r="AS3" s="17" t="s">
        <v>40</v>
      </c>
      <c r="AT3" s="17" t="s">
        <v>39</v>
      </c>
      <c r="AU3" s="17" t="s">
        <v>40</v>
      </c>
      <c r="AV3" s="17" t="s">
        <v>39</v>
      </c>
      <c r="AW3" s="17" t="s">
        <v>40</v>
      </c>
      <c r="AX3" s="17" t="s">
        <v>39</v>
      </c>
      <c r="AY3" s="17" t="s">
        <v>40</v>
      </c>
      <c r="AZ3" s="17" t="s">
        <v>39</v>
      </c>
      <c r="BA3" s="17" t="s">
        <v>40</v>
      </c>
      <c r="BB3" s="17" t="s">
        <v>39</v>
      </c>
      <c r="BC3" s="17" t="s">
        <v>40</v>
      </c>
      <c r="BD3" s="17" t="s">
        <v>39</v>
      </c>
      <c r="BE3" s="17" t="s">
        <v>40</v>
      </c>
      <c r="BF3" s="17" t="s">
        <v>39</v>
      </c>
      <c r="BG3" s="17" t="s">
        <v>40</v>
      </c>
      <c r="BH3" s="17" t="s">
        <v>39</v>
      </c>
      <c r="BI3" s="17" t="s">
        <v>40</v>
      </c>
      <c r="BJ3" s="17" t="s">
        <v>39</v>
      </c>
      <c r="BK3" s="17" t="s">
        <v>40</v>
      </c>
      <c r="BL3" s="17" t="s">
        <v>39</v>
      </c>
      <c r="BM3" s="17" t="s">
        <v>40</v>
      </c>
      <c r="BN3" s="17" t="s">
        <v>39</v>
      </c>
      <c r="BO3" s="17" t="s">
        <v>40</v>
      </c>
      <c r="BP3" s="17" t="s">
        <v>39</v>
      </c>
      <c r="BQ3" s="17" t="s">
        <v>40</v>
      </c>
    </row>
    <row r="4" spans="1:69">
      <c r="A4" s="9"/>
      <c r="B4" s="18"/>
      <c r="C4" s="18"/>
      <c r="D4" s="18"/>
      <c r="E4" s="18"/>
      <c r="F4" s="18"/>
      <c r="G4" s="18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20"/>
      <c r="BN4" s="19"/>
      <c r="BO4" s="19"/>
      <c r="BP4" s="19"/>
      <c r="BQ4" s="19"/>
    </row>
    <row r="5" spans="1:69">
      <c r="A5" s="9"/>
      <c r="B5" s="18"/>
      <c r="C5" s="18"/>
      <c r="D5" s="18"/>
      <c r="E5" s="18"/>
      <c r="F5" s="18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20"/>
      <c r="BN5" s="19"/>
      <c r="BO5" s="19"/>
      <c r="BP5" s="19"/>
      <c r="BQ5" s="19"/>
    </row>
    <row r="6" spans="1:69">
      <c r="A6" s="9"/>
      <c r="B6" s="18"/>
      <c r="C6" s="18"/>
      <c r="D6" s="18"/>
      <c r="E6" s="18"/>
      <c r="F6" s="18"/>
      <c r="G6" s="18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20"/>
      <c r="BN6" s="19"/>
      <c r="BO6" s="19"/>
      <c r="BP6" s="19"/>
      <c r="BQ6" s="19"/>
    </row>
    <row r="7" spans="1:69">
      <c r="A7" s="9"/>
      <c r="B7" s="18"/>
      <c r="C7" s="18"/>
      <c r="D7" s="18"/>
      <c r="E7" s="18"/>
      <c r="F7" s="18"/>
      <c r="G7" s="18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20"/>
      <c r="BN7" s="19"/>
      <c r="BO7" s="19"/>
      <c r="BP7" s="19"/>
      <c r="BQ7" s="19"/>
    </row>
    <row r="8" spans="1:69">
      <c r="A8" s="9"/>
      <c r="B8" s="18"/>
      <c r="C8" s="18"/>
      <c r="D8" s="18"/>
      <c r="E8" s="18"/>
      <c r="F8" s="18"/>
      <c r="G8" s="18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20"/>
      <c r="BN8" s="19"/>
      <c r="BO8" s="19"/>
      <c r="BP8" s="19"/>
      <c r="BQ8" s="19"/>
    </row>
    <row r="9" spans="1:69">
      <c r="A9" s="9"/>
      <c r="B9" s="18"/>
      <c r="C9" s="18"/>
      <c r="D9" s="18"/>
      <c r="E9" s="18"/>
      <c r="F9" s="18"/>
      <c r="G9" s="18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20"/>
      <c r="BN9" s="19"/>
      <c r="BO9" s="19"/>
      <c r="BP9" s="19"/>
      <c r="BQ9" s="19"/>
    </row>
    <row r="10" spans="1:69">
      <c r="A10" s="9"/>
      <c r="B10" s="18"/>
      <c r="C10" s="18"/>
      <c r="D10" s="18"/>
      <c r="E10" s="18"/>
      <c r="F10" s="18"/>
      <c r="G10" s="18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20"/>
      <c r="BN10" s="19"/>
      <c r="BO10" s="19"/>
      <c r="BP10" s="19"/>
      <c r="BQ10" s="19"/>
    </row>
    <row r="11" spans="1:69">
      <c r="A11" s="9"/>
      <c r="B11" s="18"/>
      <c r="C11" s="18"/>
      <c r="D11" s="18"/>
      <c r="E11" s="18"/>
      <c r="F11" s="18"/>
      <c r="G11" s="18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20"/>
      <c r="BN11" s="19"/>
      <c r="BO11" s="19"/>
      <c r="BP11" s="19"/>
      <c r="BQ11" s="19"/>
    </row>
    <row r="12" spans="1:69">
      <c r="A12" s="12"/>
      <c r="B12" s="18"/>
      <c r="C12" s="18"/>
      <c r="D12" s="18"/>
      <c r="E12" s="18"/>
      <c r="F12" s="18"/>
      <c r="G12" s="18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20"/>
      <c r="BN12" s="19"/>
      <c r="BO12" s="19"/>
      <c r="BP12" s="19"/>
      <c r="BQ12" s="19"/>
    </row>
    <row r="13" spans="1:69">
      <c r="A13" s="9"/>
      <c r="B13" s="18"/>
      <c r="C13" s="18"/>
      <c r="D13" s="18"/>
      <c r="E13" s="18"/>
      <c r="F13" s="18"/>
      <c r="G13" s="18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20"/>
      <c r="BN13" s="19"/>
      <c r="BO13" s="19"/>
      <c r="BP13" s="19"/>
      <c r="BQ13" s="19"/>
    </row>
    <row r="14" spans="1:69">
      <c r="A14" s="9"/>
      <c r="B14" s="18"/>
      <c r="C14" s="18"/>
      <c r="D14" s="18"/>
      <c r="E14" s="18"/>
      <c r="F14" s="18"/>
      <c r="G14" s="18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20"/>
      <c r="BN14" s="19"/>
      <c r="BO14" s="19"/>
      <c r="BP14" s="19"/>
      <c r="BQ14" s="19"/>
    </row>
    <row r="15" spans="1:69">
      <c r="A15" s="9"/>
      <c r="B15" s="18"/>
      <c r="C15" s="18"/>
      <c r="D15" s="18"/>
      <c r="E15" s="18"/>
      <c r="F15" s="18"/>
      <c r="G15" s="18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20"/>
      <c r="BN15" s="19"/>
      <c r="BO15" s="19"/>
      <c r="BP15" s="19"/>
      <c r="BQ15" s="19"/>
    </row>
    <row r="16" spans="1:69">
      <c r="A16" s="9"/>
      <c r="B16" s="18"/>
      <c r="C16" s="18"/>
      <c r="D16" s="18"/>
      <c r="E16" s="18"/>
      <c r="F16" s="18"/>
      <c r="G16" s="18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20"/>
      <c r="BN16" s="19"/>
      <c r="BO16" s="19"/>
      <c r="BP16" s="19"/>
      <c r="BQ16" s="19"/>
    </row>
    <row r="17" spans="1:69">
      <c r="A17" s="12"/>
      <c r="B17" s="18"/>
      <c r="C17" s="18"/>
      <c r="D17" s="18"/>
      <c r="E17" s="18"/>
      <c r="F17" s="18"/>
      <c r="G17" s="18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20"/>
      <c r="BN17" s="19"/>
      <c r="BO17" s="19"/>
      <c r="BP17" s="19"/>
      <c r="BQ17" s="19"/>
    </row>
    <row r="18" spans="1:69">
      <c r="A18" s="9"/>
      <c r="B18" s="18"/>
      <c r="C18" s="18"/>
      <c r="D18" s="18"/>
      <c r="E18" s="18"/>
      <c r="F18" s="18"/>
      <c r="G18" s="18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20"/>
      <c r="BN18" s="19"/>
      <c r="BO18" s="19"/>
      <c r="BP18" s="19"/>
      <c r="BQ18" s="19"/>
    </row>
    <row r="19" spans="1:69">
      <c r="A19" s="9"/>
      <c r="B19" s="18"/>
      <c r="C19" s="18"/>
      <c r="D19" s="18"/>
      <c r="E19" s="18"/>
      <c r="F19" s="18"/>
      <c r="G19" s="18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20"/>
      <c r="BN19" s="19"/>
      <c r="BO19" s="19"/>
      <c r="BP19" s="19"/>
      <c r="BQ19" s="19"/>
    </row>
    <row r="20" spans="1:69">
      <c r="A20" s="9"/>
      <c r="B20" s="18"/>
      <c r="C20" s="18"/>
      <c r="D20" s="18"/>
      <c r="E20" s="18"/>
      <c r="F20" s="18"/>
      <c r="G20" s="18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20"/>
      <c r="BN20" s="19"/>
      <c r="BO20" s="19"/>
      <c r="BP20" s="19"/>
      <c r="BQ20" s="19"/>
    </row>
    <row r="21" spans="1:69">
      <c r="A21" s="9"/>
      <c r="B21" s="18"/>
      <c r="C21" s="18"/>
      <c r="D21" s="18"/>
      <c r="E21" s="18"/>
      <c r="F21" s="18"/>
      <c r="G21" s="18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20"/>
      <c r="BN21" s="19"/>
      <c r="BO21" s="19"/>
      <c r="BP21" s="19"/>
      <c r="BQ21" s="19"/>
    </row>
    <row r="22" spans="1:69">
      <c r="A22" s="9"/>
      <c r="B22" s="18"/>
      <c r="C22" s="18"/>
      <c r="D22" s="18"/>
      <c r="E22" s="18"/>
      <c r="F22" s="18"/>
      <c r="G22" s="18"/>
      <c r="H22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20"/>
      <c r="BN22" s="19"/>
      <c r="BO22" s="19"/>
      <c r="BP22" s="19"/>
      <c r="BQ22" s="19"/>
    </row>
    <row r="23" spans="1:69">
      <c r="A23" s="9"/>
      <c r="B23" s="18"/>
      <c r="C23" s="18"/>
      <c r="D23" s="18"/>
      <c r="E23" s="18"/>
      <c r="F23" s="18"/>
      <c r="G23" s="18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20"/>
      <c r="BN23" s="19"/>
      <c r="BO23" s="19"/>
      <c r="BP23" s="19"/>
      <c r="BQ23" s="19"/>
    </row>
    <row r="24" spans="1:69">
      <c r="A24" s="9"/>
      <c r="B24" s="18"/>
      <c r="C24" s="18"/>
      <c r="D24" s="18"/>
      <c r="E24" s="18"/>
      <c r="F24" s="18"/>
      <c r="G24" s="18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20"/>
      <c r="BN24" s="19"/>
      <c r="BO24" s="19"/>
      <c r="BP24" s="19"/>
      <c r="BQ24" s="19"/>
    </row>
    <row r="25" spans="1:69">
      <c r="A25" s="9"/>
      <c r="B25" s="18"/>
      <c r="C25" s="18"/>
      <c r="D25" s="18"/>
      <c r="E25" s="18"/>
      <c r="F25" s="18"/>
      <c r="G25" s="18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20"/>
      <c r="BN25" s="19"/>
      <c r="BO25" s="19"/>
      <c r="BP25" s="19"/>
      <c r="BQ25" s="19"/>
    </row>
    <row r="26" spans="1:69">
      <c r="A26" s="9"/>
      <c r="B26" s="18"/>
      <c r="C26" s="18"/>
      <c r="D26" s="18"/>
      <c r="E26" s="18"/>
      <c r="F26" s="18"/>
      <c r="G26" s="18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</row>
    <row r="27" spans="1:69">
      <c r="A27" s="9"/>
      <c r="B27" s="18"/>
      <c r="C27" s="18"/>
      <c r="D27" s="18"/>
      <c r="E27" s="18"/>
      <c r="F27" s="18"/>
      <c r="G27" s="18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</row>
    <row r="28" spans="1:69">
      <c r="A28" s="9"/>
      <c r="B28" s="18"/>
      <c r="C28" s="18"/>
      <c r="D28" s="18"/>
      <c r="E28" s="18"/>
      <c r="F28" s="18"/>
      <c r="G28" s="18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</row>
    <row r="29" spans="1:69">
      <c r="A29" s="9"/>
      <c r="B29" s="18"/>
      <c r="C29" s="18"/>
      <c r="D29" s="18"/>
      <c r="E29" s="18"/>
      <c r="F29" s="18"/>
      <c r="G29" s="18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</row>
    <row r="30" spans="1:69">
      <c r="A30" s="9"/>
      <c r="B30" s="18"/>
      <c r="C30" s="18"/>
      <c r="D30" s="18"/>
      <c r="E30" s="18"/>
      <c r="F30" s="18"/>
      <c r="G30" s="18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</row>
    <row r="31" spans="1:69">
      <c r="A31" s="9"/>
      <c r="B31" s="18"/>
      <c r="C31" s="18"/>
      <c r="D31" s="18"/>
      <c r="E31" s="18"/>
      <c r="F31" s="18"/>
      <c r="G31" s="18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</row>
    <row r="32" spans="1:69">
      <c r="A32" s="9"/>
      <c r="B32" s="18"/>
      <c r="C32" s="18"/>
      <c r="D32" s="18"/>
      <c r="E32" s="18"/>
      <c r="F32" s="18"/>
      <c r="G32" s="18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</row>
    <row r="33" spans="1:69">
      <c r="A33" s="9"/>
      <c r="B33" s="18"/>
      <c r="C33" s="18"/>
      <c r="D33" s="18"/>
      <c r="E33" s="18"/>
      <c r="F33" s="18"/>
      <c r="G33" s="18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</row>
    <row r="34" spans="1:69">
      <c r="A34" s="9"/>
      <c r="B34" s="18"/>
      <c r="C34" s="18"/>
      <c r="D34" s="18"/>
      <c r="E34" s="18"/>
      <c r="F34" s="18"/>
      <c r="G34" s="18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</row>
    <row r="35" spans="1:69">
      <c r="A35" s="9"/>
      <c r="B35" s="18"/>
      <c r="C35" s="18"/>
      <c r="D35" s="18"/>
      <c r="E35" s="18"/>
      <c r="F35" s="18"/>
      <c r="G35" s="18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</row>
    <row r="36" spans="1:69">
      <c r="A36" s="9"/>
      <c r="B36" s="18"/>
      <c r="C36" s="18"/>
      <c r="D36" s="18"/>
      <c r="E36" s="18"/>
      <c r="F36" s="18"/>
      <c r="G36" s="18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</row>
    <row r="37" ht="13" customHeight="1" spans="1:69">
      <c r="A37" s="9"/>
      <c r="B37" s="18"/>
      <c r="C37" s="18"/>
      <c r="D37" s="18"/>
      <c r="E37" s="18"/>
      <c r="F37" s="18"/>
      <c r="G37" s="18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</row>
    <row r="38" spans="1:69">
      <c r="A38" s="9"/>
      <c r="B38" s="18"/>
      <c r="C38" s="18"/>
      <c r="D38" s="18"/>
      <c r="E38" s="18"/>
      <c r="F38" s="18"/>
      <c r="G38" s="18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</row>
    <row r="39" spans="1:69">
      <c r="A39" s="9"/>
      <c r="B39" s="18"/>
      <c r="C39" s="18"/>
      <c r="D39" s="18"/>
      <c r="E39" s="18"/>
      <c r="F39" s="18"/>
      <c r="G39" s="18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</row>
    <row r="40" spans="1:69">
      <c r="A40" s="9"/>
      <c r="B40" s="18"/>
      <c r="C40" s="18"/>
      <c r="D40" s="18"/>
      <c r="E40" s="18"/>
      <c r="F40" s="18"/>
      <c r="G40" s="18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</row>
    <row r="41" spans="1:69">
      <c r="A41" s="9"/>
      <c r="B41" s="18"/>
      <c r="C41" s="18"/>
      <c r="D41" s="18"/>
      <c r="E41" s="18"/>
      <c r="F41" s="18"/>
      <c r="G41" s="18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</row>
    <row r="42" spans="1:69">
      <c r="A42" s="9"/>
      <c r="B42" s="18"/>
      <c r="C42" s="18"/>
      <c r="D42" s="18"/>
      <c r="E42" s="18"/>
      <c r="F42" s="18"/>
      <c r="G42" s="18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</row>
    <row r="43" spans="1:69">
      <c r="A43" s="9"/>
      <c r="B43" s="18"/>
      <c r="C43" s="18"/>
      <c r="D43" s="18"/>
      <c r="E43" s="18"/>
      <c r="F43" s="18"/>
      <c r="G43" s="18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</row>
    <row r="44" spans="1:69">
      <c r="A44" s="9"/>
      <c r="B44" s="18"/>
      <c r="C44" s="18"/>
      <c r="D44" s="18"/>
      <c r="E44" s="18"/>
      <c r="F44" s="18"/>
      <c r="G44" s="18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</row>
    <row r="45" spans="1:69">
      <c r="A45" s="9"/>
      <c r="B45" s="18"/>
      <c r="C45" s="18"/>
      <c r="D45" s="18"/>
      <c r="E45" s="18"/>
      <c r="F45" s="18"/>
      <c r="G45" s="18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</row>
    <row r="46" spans="1:69">
      <c r="A46" s="18"/>
      <c r="B46" s="18"/>
      <c r="C46" s="18">
        <f t="shared" ref="C43:C57" si="0">SUMIF($3:$3,"入库",46:46)</f>
        <v>0</v>
      </c>
      <c r="D46" s="18">
        <f t="shared" ref="D43:D57" si="1">SUMIF($3:$3,"出库",46:46)</f>
        <v>0</v>
      </c>
      <c r="E46" s="18">
        <f t="shared" ref="E43:E57" si="2">B46+C46-D46</f>
        <v>0</v>
      </c>
      <c r="F46" s="18">
        <v>50</v>
      </c>
      <c r="G46" s="18" t="str">
        <f t="shared" ref="G43:G57" si="3">IF(E46&lt;F46,"库存不足","库存充足")</f>
        <v>库存不足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</row>
    <row r="47" spans="1:69">
      <c r="A47" s="18"/>
      <c r="B47" s="18"/>
      <c r="C47" s="18">
        <f t="shared" si="0"/>
        <v>0</v>
      </c>
      <c r="D47" s="18">
        <f t="shared" si="1"/>
        <v>0</v>
      </c>
      <c r="E47" s="18">
        <f t="shared" si="2"/>
        <v>0</v>
      </c>
      <c r="F47" s="18">
        <v>50</v>
      </c>
      <c r="G47" s="18" t="str">
        <f t="shared" si="3"/>
        <v>库存不足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</row>
    <row r="48" spans="1:69">
      <c r="A48" s="18"/>
      <c r="B48" s="18"/>
      <c r="C48" s="18">
        <f t="shared" si="0"/>
        <v>0</v>
      </c>
      <c r="D48" s="18">
        <f t="shared" si="1"/>
        <v>0</v>
      </c>
      <c r="E48" s="18">
        <f t="shared" si="2"/>
        <v>0</v>
      </c>
      <c r="F48" s="18">
        <v>50</v>
      </c>
      <c r="G48" s="18" t="str">
        <f t="shared" si="3"/>
        <v>库存不足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</row>
    <row r="49" spans="1:69">
      <c r="A49" s="18"/>
      <c r="B49" s="18"/>
      <c r="C49" s="18">
        <f t="shared" si="0"/>
        <v>0</v>
      </c>
      <c r="D49" s="18">
        <f t="shared" si="1"/>
        <v>0</v>
      </c>
      <c r="E49" s="18">
        <f t="shared" si="2"/>
        <v>0</v>
      </c>
      <c r="F49" s="18">
        <v>50</v>
      </c>
      <c r="G49" s="18" t="str">
        <f t="shared" si="3"/>
        <v>库存不足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</row>
    <row r="50" spans="1:69">
      <c r="A50" s="18"/>
      <c r="B50" s="18"/>
      <c r="C50" s="18">
        <f t="shared" si="0"/>
        <v>0</v>
      </c>
      <c r="D50" s="18">
        <f t="shared" si="1"/>
        <v>0</v>
      </c>
      <c r="E50" s="18">
        <f t="shared" si="2"/>
        <v>0</v>
      </c>
      <c r="F50" s="18">
        <v>50</v>
      </c>
      <c r="G50" s="18" t="str">
        <f t="shared" si="3"/>
        <v>库存不足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</row>
    <row r="51" spans="1:69">
      <c r="A51" s="18"/>
      <c r="B51" s="18"/>
      <c r="C51" s="18">
        <f t="shared" si="0"/>
        <v>0</v>
      </c>
      <c r="D51" s="18">
        <f t="shared" si="1"/>
        <v>0</v>
      </c>
      <c r="E51" s="18">
        <f t="shared" si="2"/>
        <v>0</v>
      </c>
      <c r="F51" s="18">
        <v>50</v>
      </c>
      <c r="G51" s="18" t="str">
        <f t="shared" si="3"/>
        <v>库存不足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</row>
    <row r="52" spans="1:69">
      <c r="A52" s="18"/>
      <c r="B52" s="18"/>
      <c r="C52" s="18">
        <f t="shared" si="0"/>
        <v>0</v>
      </c>
      <c r="D52" s="18">
        <f t="shared" si="1"/>
        <v>0</v>
      </c>
      <c r="E52" s="18">
        <f t="shared" si="2"/>
        <v>0</v>
      </c>
      <c r="F52" s="18">
        <v>50</v>
      </c>
      <c r="G52" s="18" t="str">
        <f t="shared" si="3"/>
        <v>库存不足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</row>
    <row r="53" spans="1:69">
      <c r="A53" s="18"/>
      <c r="B53" s="18"/>
      <c r="C53" s="18">
        <f t="shared" si="0"/>
        <v>0</v>
      </c>
      <c r="D53" s="18">
        <f t="shared" si="1"/>
        <v>0</v>
      </c>
      <c r="E53" s="18">
        <f t="shared" si="2"/>
        <v>0</v>
      </c>
      <c r="F53" s="18">
        <v>50</v>
      </c>
      <c r="G53" s="18" t="str">
        <f t="shared" si="3"/>
        <v>库存不足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</row>
    <row r="54" spans="1:69">
      <c r="A54" s="18"/>
      <c r="B54" s="18"/>
      <c r="C54" s="18">
        <f t="shared" si="0"/>
        <v>0</v>
      </c>
      <c r="D54" s="18">
        <f t="shared" si="1"/>
        <v>0</v>
      </c>
      <c r="E54" s="18">
        <f t="shared" si="2"/>
        <v>0</v>
      </c>
      <c r="F54" s="18">
        <v>50</v>
      </c>
      <c r="G54" s="18" t="str">
        <f t="shared" si="3"/>
        <v>库存不足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</row>
    <row r="55" spans="1:69">
      <c r="A55" s="18"/>
      <c r="B55" s="18"/>
      <c r="C55" s="18">
        <f t="shared" si="0"/>
        <v>0</v>
      </c>
      <c r="D55" s="18">
        <f t="shared" si="1"/>
        <v>0</v>
      </c>
      <c r="E55" s="18">
        <f t="shared" si="2"/>
        <v>0</v>
      </c>
      <c r="F55" s="18">
        <v>50</v>
      </c>
      <c r="G55" s="18" t="str">
        <f t="shared" si="3"/>
        <v>库存不足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</row>
    <row r="56" spans="1:69">
      <c r="A56" s="18"/>
      <c r="B56" s="18"/>
      <c r="C56" s="18">
        <f t="shared" si="0"/>
        <v>0</v>
      </c>
      <c r="D56" s="18">
        <f t="shared" si="1"/>
        <v>0</v>
      </c>
      <c r="E56" s="18">
        <f t="shared" si="2"/>
        <v>0</v>
      </c>
      <c r="F56" s="18">
        <v>50</v>
      </c>
      <c r="G56" s="18" t="str">
        <f t="shared" si="3"/>
        <v>库存不足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</row>
    <row r="57" spans="1:69">
      <c r="A57" s="18"/>
      <c r="B57" s="18"/>
      <c r="C57" s="18">
        <f t="shared" si="0"/>
        <v>0</v>
      </c>
      <c r="D57" s="18">
        <f t="shared" si="1"/>
        <v>0</v>
      </c>
      <c r="E57" s="18">
        <f t="shared" si="2"/>
        <v>0</v>
      </c>
      <c r="F57" s="18">
        <v>50</v>
      </c>
      <c r="G57" s="18" t="str">
        <f t="shared" si="3"/>
        <v>库存不足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41">
    <cfRule type="containsText" dxfId="0" priority="1" operator="between" text="库存不足">
      <formula>NOT(ISERROR(SEARCH("库存不足",G41)))</formula>
    </cfRule>
  </conditionalFormatting>
  <conditionalFormatting sqref="G2:G40 G42:G1048576">
    <cfRule type="containsText" dxfId="0" priority="3" operator="between" text="库存不足">
      <formula>NOT(ISERROR(SEARCH("库存不足",G2)))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9"/>
  <sheetViews>
    <sheetView workbookViewId="0">
      <pane xSplit="7" ySplit="3" topLeftCell="H6" activePane="bottomRight" state="frozen"/>
      <selection/>
      <selection pane="topRight"/>
      <selection pane="bottomLeft"/>
      <selection pane="bottomRight" activeCell="A4" sqref="$A4:$XFD45"/>
    </sheetView>
  </sheetViews>
  <sheetFormatPr defaultColWidth="9" defaultRowHeight="14"/>
  <cols>
    <col min="1" max="1" width="44.625" customWidth="1"/>
    <col min="2" max="2" width="11.125"/>
    <col min="8" max="69" width="4.625" style="2" customWidth="1"/>
  </cols>
  <sheetData>
    <row r="1" s="1" customFormat="1" ht="27" customHeight="1" spans="1:69">
      <c r="A1" s="3" t="s">
        <v>46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12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12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/>
      <c r="D18" s="10"/>
      <c r="E18" s="10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/>
      <c r="C19" s="10"/>
      <c r="D19" s="10"/>
      <c r="E19" s="10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/>
      <c r="C20" s="10"/>
      <c r="D20" s="10"/>
      <c r="E20" s="10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/>
      <c r="C21" s="10"/>
      <c r="D21" s="10"/>
      <c r="E21" s="10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/>
      <c r="C22" s="10"/>
      <c r="D22" s="10"/>
      <c r="E22" s="10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/>
      <c r="D23" s="10"/>
      <c r="E23" s="10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10"/>
      <c r="D24" s="10"/>
      <c r="E24" s="10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10"/>
      <c r="D25" s="10"/>
      <c r="E25" s="10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10"/>
      <c r="D26" s="10"/>
      <c r="E26" s="10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10"/>
      <c r="D27" s="10"/>
      <c r="E27" s="10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9"/>
      <c r="B28" s="9"/>
      <c r="C28" s="10"/>
      <c r="D28" s="10"/>
      <c r="E28" s="10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>
      <c r="A29" s="9"/>
      <c r="B29" s="9"/>
      <c r="C29" s="10"/>
      <c r="D29" s="10"/>
      <c r="E29" s="10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>
      <c r="A30" s="9"/>
      <c r="B30" s="9"/>
      <c r="C30" s="10"/>
      <c r="D30" s="10"/>
      <c r="E30" s="10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>
      <c r="A31" s="9"/>
      <c r="B31" s="9"/>
      <c r="C31" s="10"/>
      <c r="D31" s="10"/>
      <c r="E31" s="10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>
      <c r="A32" s="9"/>
      <c r="B32" s="9"/>
      <c r="C32" s="10"/>
      <c r="D32" s="10"/>
      <c r="E32" s="10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>
      <c r="A33" s="9"/>
      <c r="B33" s="9"/>
      <c r="C33" s="10"/>
      <c r="D33" s="10"/>
      <c r="E33" s="10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>
      <c r="A34" s="9"/>
      <c r="B34" s="9"/>
      <c r="C34" s="10"/>
      <c r="D34" s="10"/>
      <c r="E34" s="10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>
      <c r="A35" s="9"/>
      <c r="B35" s="9"/>
      <c r="C35" s="10"/>
      <c r="D35" s="10"/>
      <c r="E35" s="10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>
      <c r="A36" s="9"/>
      <c r="B36" s="9"/>
      <c r="C36" s="10"/>
      <c r="D36" s="10"/>
      <c r="E36" s="10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>
      <c r="A37" s="9"/>
      <c r="B37" s="9"/>
      <c r="C37" s="10"/>
      <c r="D37" s="10"/>
      <c r="E37" s="10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>
      <c r="A38" s="9"/>
      <c r="B38" s="9"/>
      <c r="C38" s="10"/>
      <c r="D38" s="10"/>
      <c r="E38" s="10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>
      <c r="A39" s="9"/>
      <c r="B39" s="9"/>
      <c r="C39" s="10"/>
      <c r="D39" s="10"/>
      <c r="E39" s="10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>
      <c r="A40" s="9"/>
      <c r="B40" s="9"/>
      <c r="C40" s="10"/>
      <c r="D40" s="10"/>
      <c r="E40" s="10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>
      <c r="A41" s="9"/>
      <c r="B41" s="9"/>
      <c r="C41" s="10"/>
      <c r="D41" s="10"/>
      <c r="E41" s="10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>
      <c r="A42" s="9"/>
      <c r="B42" s="9"/>
      <c r="C42" s="10"/>
      <c r="D42" s="10"/>
      <c r="E42" s="10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>
      <c r="A43" s="9"/>
      <c r="B43" s="9"/>
      <c r="C43" s="10"/>
      <c r="D43" s="10"/>
      <c r="E43" s="10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>
      <c r="A44" s="9"/>
      <c r="B44" s="9"/>
      <c r="C44" s="10"/>
      <c r="D44" s="10"/>
      <c r="E44" s="10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>
      <c r="A45" s="9"/>
      <c r="B45" s="9"/>
      <c r="C45" s="10"/>
      <c r="D45" s="10"/>
      <c r="E45" s="10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>
      <c r="A46" s="9"/>
      <c r="B46" s="9"/>
      <c r="C46" s="10">
        <f>SUMIF($3:$3,"入库",46:46)</f>
        <v>0</v>
      </c>
      <c r="D46" s="10">
        <f>SUMIF($3:$3,"出库",46:46)</f>
        <v>0</v>
      </c>
      <c r="E46" s="10">
        <f>B46+C46-D46</f>
        <v>0</v>
      </c>
      <c r="F46" s="9">
        <v>50</v>
      </c>
      <c r="G46" s="10" t="str">
        <f>IF(E46&lt;F46,"库存不足","库存充足")</f>
        <v>库存不足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10">
        <f>SUMIF($3:$3,"入库",47:47)</f>
        <v>0</v>
      </c>
      <c r="D47" s="10">
        <f>SUMIF($3:$3,"出库",47:47)</f>
        <v>0</v>
      </c>
      <c r="E47" s="10">
        <f>B47+C47-D47</f>
        <v>0</v>
      </c>
      <c r="F47" s="9">
        <v>50</v>
      </c>
      <c r="G47" s="10" t="str">
        <f>IF(E47&lt;F47,"库存不足","库存充足")</f>
        <v>库存不足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  <row r="48" spans="1:69">
      <c r="A48" s="9"/>
      <c r="B48" s="9"/>
      <c r="C48" s="10">
        <f>SUMIF($3:$3,"入库",48:48)</f>
        <v>0</v>
      </c>
      <c r="D48" s="10">
        <f>SUMIF($3:$3,"出库",48:48)</f>
        <v>0</v>
      </c>
      <c r="E48" s="10">
        <f>B48+C48-D48</f>
        <v>0</v>
      </c>
      <c r="F48" s="9">
        <v>50</v>
      </c>
      <c r="G48" s="10" t="str">
        <f>IF(E48&lt;F48,"库存不足","库存充足")</f>
        <v>库存不足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69">
      <c r="A49" s="9"/>
      <c r="B49" s="9"/>
      <c r="C49" s="10">
        <f>SUMIF($3:$3,"入库",49:49)</f>
        <v>0</v>
      </c>
      <c r="D49" s="10">
        <f>SUMIF($3:$3,"出库",49:49)</f>
        <v>0</v>
      </c>
      <c r="E49" s="10">
        <f>B49+C49-D49</f>
        <v>0</v>
      </c>
      <c r="F49" s="9">
        <v>50</v>
      </c>
      <c r="G49" s="10" t="str">
        <f>IF(E49&lt;F49,"库存不足","库存充足")</f>
        <v>库存不足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</row>
    <row r="50" spans="1:69">
      <c r="A50" s="9"/>
      <c r="B50" s="9"/>
      <c r="C50" s="10">
        <f>SUMIF($3:$3,"入库",50:50)</f>
        <v>0</v>
      </c>
      <c r="D50" s="10">
        <f>SUMIF($3:$3,"出库",50:50)</f>
        <v>0</v>
      </c>
      <c r="E50" s="10">
        <f>B50+C50-D50</f>
        <v>0</v>
      </c>
      <c r="F50" s="9">
        <v>50</v>
      </c>
      <c r="G50" s="10" t="str">
        <f>IF(E50&lt;F50,"库存不足","库存充足")</f>
        <v>库存不足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</row>
    <row r="51" spans="1:69">
      <c r="A51" s="9"/>
      <c r="B51" s="9"/>
      <c r="C51" s="10">
        <f>SUMIF($3:$3,"入库",51:51)</f>
        <v>0</v>
      </c>
      <c r="D51" s="10">
        <f>SUMIF($3:$3,"出库",51:51)</f>
        <v>0</v>
      </c>
      <c r="E51" s="10">
        <f>B51+C51-D51</f>
        <v>0</v>
      </c>
      <c r="F51" s="9">
        <v>50</v>
      </c>
      <c r="G51" s="10" t="str">
        <f>IF(E51&lt;F51,"库存不足","库存充足")</f>
        <v>库存不足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</row>
    <row r="52" spans="1:69">
      <c r="A52" s="9"/>
      <c r="B52" s="9"/>
      <c r="C52" s="10">
        <f>SUMIF($3:$3,"入库",52:52)</f>
        <v>0</v>
      </c>
      <c r="D52" s="10">
        <f>SUMIF($3:$3,"出库",52:52)</f>
        <v>0</v>
      </c>
      <c r="E52" s="10">
        <f>B52+C52-D52</f>
        <v>0</v>
      </c>
      <c r="F52" s="9">
        <v>50</v>
      </c>
      <c r="G52" s="10" t="str">
        <f>IF(E52&lt;F52,"库存不足","库存充足")</f>
        <v>库存不足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</row>
    <row r="53" spans="1:69">
      <c r="A53" s="9"/>
      <c r="B53" s="9"/>
      <c r="C53" s="10">
        <f>SUMIF($3:$3,"入库",53:53)</f>
        <v>0</v>
      </c>
      <c r="D53" s="10">
        <f>SUMIF($3:$3,"出库",53:53)</f>
        <v>0</v>
      </c>
      <c r="E53" s="10">
        <f>B53+C53-D53</f>
        <v>0</v>
      </c>
      <c r="F53" s="9">
        <v>50</v>
      </c>
      <c r="G53" s="10" t="str">
        <f>IF(E53&lt;F53,"库存不足","库存充足")</f>
        <v>库存不足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</row>
    <row r="54" spans="1:69">
      <c r="A54" s="9"/>
      <c r="B54" s="9"/>
      <c r="C54" s="10">
        <f>SUMIF($3:$3,"入库",54:54)</f>
        <v>0</v>
      </c>
      <c r="D54" s="10">
        <f>SUMIF($3:$3,"出库",54:54)</f>
        <v>0</v>
      </c>
      <c r="E54" s="10">
        <f>B54+C54-D54</f>
        <v>0</v>
      </c>
      <c r="F54" s="9">
        <v>50</v>
      </c>
      <c r="G54" s="10" t="str">
        <f>IF(E54&lt;F54,"库存不足","库存充足")</f>
        <v>库存不足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</row>
    <row r="55" spans="1:69">
      <c r="A55" s="9"/>
      <c r="B55" s="9"/>
      <c r="C55" s="10">
        <f>SUMIF($3:$3,"入库",55:55)</f>
        <v>0</v>
      </c>
      <c r="D55" s="10">
        <f>SUMIF($3:$3,"出库",55:55)</f>
        <v>0</v>
      </c>
      <c r="E55" s="10">
        <f>B55+C55-D55</f>
        <v>0</v>
      </c>
      <c r="F55" s="9">
        <v>50</v>
      </c>
      <c r="G55" s="10" t="str">
        <f>IF(E55&lt;F55,"库存不足","库存充足")</f>
        <v>库存不足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</row>
    <row r="56" spans="1:69">
      <c r="A56" s="9"/>
      <c r="B56" s="9"/>
      <c r="C56" s="10">
        <f>SUMIF($3:$3,"入库",56:56)</f>
        <v>0</v>
      </c>
      <c r="D56" s="10">
        <f>SUMIF($3:$3,"出库",56:56)</f>
        <v>0</v>
      </c>
      <c r="E56" s="10">
        <f>B56+C56-D56</f>
        <v>0</v>
      </c>
      <c r="F56" s="9">
        <v>50</v>
      </c>
      <c r="G56" s="10" t="str">
        <f>IF(E56&lt;F56,"库存不足","库存充足")</f>
        <v>库存不足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</row>
    <row r="57" spans="1:69">
      <c r="A57" s="9"/>
      <c r="B57" s="9"/>
      <c r="C57" s="10">
        <f>SUMIF($3:$3,"入库",57:57)</f>
        <v>0</v>
      </c>
      <c r="D57" s="10">
        <f>SUMIF($3:$3,"出库",57:57)</f>
        <v>0</v>
      </c>
      <c r="E57" s="10">
        <f>B57+C57-D57</f>
        <v>0</v>
      </c>
      <c r="F57" s="9">
        <v>50</v>
      </c>
      <c r="G57" s="10" t="str">
        <f>IF(E57&lt;F57,"库存不足","库存充足")</f>
        <v>库存不足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</row>
    <row r="58" spans="1:69">
      <c r="A58" s="9"/>
      <c r="B58" s="9"/>
      <c r="C58" s="10">
        <f>SUMIF($3:$3,"入库",58:58)</f>
        <v>0</v>
      </c>
      <c r="D58" s="10">
        <f>SUMIF($3:$3,"出库",58:58)</f>
        <v>0</v>
      </c>
      <c r="E58" s="10">
        <f>B58+C58-D58</f>
        <v>0</v>
      </c>
      <c r="F58" s="9">
        <v>50</v>
      </c>
      <c r="G58" s="10" t="str">
        <f>IF(E58&lt;F58,"库存不足","库存充足")</f>
        <v>库存不足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</row>
    <row r="59" spans="1:69">
      <c r="A59" s="9"/>
      <c r="B59" s="9"/>
      <c r="C59" s="10">
        <f>SUMIF($3:$3,"入库",59:59)</f>
        <v>0</v>
      </c>
      <c r="D59" s="10">
        <f>SUMIF($3:$3,"出库",59:59)</f>
        <v>0</v>
      </c>
      <c r="E59" s="10">
        <f>B59+C59-D59</f>
        <v>0</v>
      </c>
      <c r="F59" s="9">
        <v>50</v>
      </c>
      <c r="G59" s="10" t="str">
        <f>IF(E59&lt;F59,"库存不足","库存充足")</f>
        <v>库存不足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60"/>
  <sheetViews>
    <sheetView workbookViewId="0">
      <pane xSplit="7" ySplit="3" topLeftCell="H21" activePane="bottomRight" state="frozen"/>
      <selection/>
      <selection pane="topRight"/>
      <selection pane="bottomLeft"/>
      <selection pane="bottomRight" activeCell="A4" sqref="$A4:$XFD45"/>
    </sheetView>
  </sheetViews>
  <sheetFormatPr defaultColWidth="9" defaultRowHeight="14"/>
  <cols>
    <col min="1" max="1" width="45" customWidth="1"/>
    <col min="2" max="2" width="11.125"/>
    <col min="8" max="69" width="4.625" style="2" customWidth="1"/>
  </cols>
  <sheetData>
    <row r="1" s="1" customFormat="1" ht="27" customHeight="1" spans="1:69">
      <c r="A1" s="3" t="s">
        <v>47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/>
      <c r="D18" s="10"/>
      <c r="E18" s="10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/>
      <c r="C19" s="10"/>
      <c r="D19" s="10"/>
      <c r="E19" s="10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/>
      <c r="C20" s="10"/>
      <c r="D20" s="10"/>
      <c r="E20" s="10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/>
      <c r="C21" s="10"/>
      <c r="D21" s="10"/>
      <c r="E21" s="10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/>
      <c r="C22" s="10"/>
      <c r="D22" s="10"/>
      <c r="E22" s="10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/>
      <c r="D23" s="10"/>
      <c r="E23" s="10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10"/>
      <c r="D24" s="10"/>
      <c r="E24" s="10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10"/>
      <c r="D25" s="10"/>
      <c r="E25" s="10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10"/>
      <c r="D26" s="10"/>
      <c r="E26" s="10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10"/>
      <c r="D27" s="10"/>
      <c r="E27" s="10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9"/>
      <c r="B28" s="9"/>
      <c r="C28" s="10"/>
      <c r="D28" s="10"/>
      <c r="E28" s="10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>
      <c r="A29" s="9"/>
      <c r="B29" s="9"/>
      <c r="C29" s="10"/>
      <c r="D29" s="10"/>
      <c r="E29" s="10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>
      <c r="A30" s="9"/>
      <c r="B30" s="9"/>
      <c r="C30" s="10"/>
      <c r="D30" s="10"/>
      <c r="E30" s="10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>
      <c r="A31" s="9"/>
      <c r="B31" s="9"/>
      <c r="C31" s="10"/>
      <c r="D31" s="10"/>
      <c r="E31" s="10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>
      <c r="A32" s="9"/>
      <c r="B32" s="9"/>
      <c r="C32" s="10"/>
      <c r="D32" s="10"/>
      <c r="E32" s="10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>
      <c r="A33" s="9"/>
      <c r="B33" s="9"/>
      <c r="C33" s="10"/>
      <c r="D33" s="10"/>
      <c r="E33" s="10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>
      <c r="A34" s="9"/>
      <c r="B34" s="9"/>
      <c r="C34" s="10"/>
      <c r="D34" s="10"/>
      <c r="E34" s="10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>
      <c r="A35" s="9"/>
      <c r="B35" s="9"/>
      <c r="C35" s="10"/>
      <c r="D35" s="10"/>
      <c r="E35" s="10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>
      <c r="A36" s="9"/>
      <c r="B36" s="9"/>
      <c r="C36" s="10"/>
      <c r="D36" s="10"/>
      <c r="E36" s="10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>
      <c r="A37" s="9"/>
      <c r="B37" s="9"/>
      <c r="C37" s="10"/>
      <c r="D37" s="10"/>
      <c r="E37" s="10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>
      <c r="A38" s="9"/>
      <c r="B38" s="9"/>
      <c r="C38" s="10"/>
      <c r="D38" s="10"/>
      <c r="E38" s="10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>
      <c r="A39" s="9"/>
      <c r="B39" s="9"/>
      <c r="C39" s="10"/>
      <c r="D39" s="10"/>
      <c r="E39" s="10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>
      <c r="A40" s="9"/>
      <c r="B40" s="9"/>
      <c r="C40" s="10"/>
      <c r="D40" s="10"/>
      <c r="E40" s="10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>
      <c r="A41" s="9"/>
      <c r="B41" s="9"/>
      <c r="C41" s="10"/>
      <c r="D41" s="10"/>
      <c r="E41" s="10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>
      <c r="A42" s="9"/>
      <c r="B42" s="9"/>
      <c r="C42" s="10"/>
      <c r="D42" s="10"/>
      <c r="E42" s="10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>
      <c r="A43" s="9"/>
      <c r="B43" s="9"/>
      <c r="C43" s="10"/>
      <c r="D43" s="10"/>
      <c r="E43" s="10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>
      <c r="A44" s="9"/>
      <c r="B44" s="9"/>
      <c r="C44" s="10"/>
      <c r="D44" s="10"/>
      <c r="E44" s="10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>
      <c r="A45" s="9"/>
      <c r="B45" s="9"/>
      <c r="C45" s="10"/>
      <c r="D45" s="10"/>
      <c r="E45" s="10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>
      <c r="A46" s="9"/>
      <c r="B46" s="9"/>
      <c r="C46" s="10">
        <f>SUMIF($3:$3,"入库",46:46)</f>
        <v>0</v>
      </c>
      <c r="D46" s="10">
        <f>SUMIF($3:$3,"出库",46:46)</f>
        <v>0</v>
      </c>
      <c r="E46" s="10">
        <f>B46+C46-D46</f>
        <v>0</v>
      </c>
      <c r="F46" s="9">
        <v>50</v>
      </c>
      <c r="G46" s="10" t="str">
        <f>IF(E46&lt;F46,"库存不足","库存充足")</f>
        <v>库存不足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10">
        <f>SUMIF($3:$3,"入库",47:47)</f>
        <v>0</v>
      </c>
      <c r="D47" s="10">
        <f>SUMIF($3:$3,"出库",47:47)</f>
        <v>0</v>
      </c>
      <c r="E47" s="10">
        <f>B47+C47-D47</f>
        <v>0</v>
      </c>
      <c r="F47" s="9">
        <v>50</v>
      </c>
      <c r="G47" s="10" t="str">
        <f>IF(E47&lt;F47,"库存不足","库存充足")</f>
        <v>库存不足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  <row r="48" spans="1:69">
      <c r="A48" s="9"/>
      <c r="B48" s="9"/>
      <c r="C48" s="10">
        <f>SUMIF($3:$3,"入库",48:48)</f>
        <v>0</v>
      </c>
      <c r="D48" s="10">
        <f>SUMIF($3:$3,"出库",48:48)</f>
        <v>0</v>
      </c>
      <c r="E48" s="10">
        <f>B48+C48-D48</f>
        <v>0</v>
      </c>
      <c r="F48" s="9">
        <v>50</v>
      </c>
      <c r="G48" s="10" t="str">
        <f>IF(E48&lt;F48,"库存不足","库存充足")</f>
        <v>库存不足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69">
      <c r="A49" s="9"/>
      <c r="B49" s="9"/>
      <c r="C49" s="10">
        <f>SUMIF($3:$3,"入库",49:49)</f>
        <v>0</v>
      </c>
      <c r="D49" s="10">
        <f>SUMIF($3:$3,"出库",49:49)</f>
        <v>0</v>
      </c>
      <c r="E49" s="10">
        <f>B49+C49-D49</f>
        <v>0</v>
      </c>
      <c r="F49" s="9">
        <v>50</v>
      </c>
      <c r="G49" s="10" t="str">
        <f>IF(E49&lt;F49,"库存不足","库存充足")</f>
        <v>库存不足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</row>
    <row r="50" spans="1:69">
      <c r="A50" s="9"/>
      <c r="B50" s="9"/>
      <c r="C50" s="10">
        <f>SUMIF($3:$3,"入库",50:50)</f>
        <v>0</v>
      </c>
      <c r="D50" s="10">
        <f>SUMIF($3:$3,"出库",50:50)</f>
        <v>0</v>
      </c>
      <c r="E50" s="10">
        <f>B50+C50-D50</f>
        <v>0</v>
      </c>
      <c r="F50" s="9">
        <v>50</v>
      </c>
      <c r="G50" s="10" t="str">
        <f>IF(E50&lt;F50,"库存不足","库存充足")</f>
        <v>库存不足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</row>
    <row r="51" spans="1:69">
      <c r="A51" s="9"/>
      <c r="B51" s="9"/>
      <c r="C51" s="10">
        <f>SUMIF($3:$3,"入库",51:51)</f>
        <v>0</v>
      </c>
      <c r="D51" s="10">
        <f>SUMIF($3:$3,"出库",51:51)</f>
        <v>0</v>
      </c>
      <c r="E51" s="10">
        <f>B51+C51-D51</f>
        <v>0</v>
      </c>
      <c r="F51" s="9">
        <v>50</v>
      </c>
      <c r="G51" s="10" t="str">
        <f>IF(E51&lt;F51,"库存不足","库存充足")</f>
        <v>库存不足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</row>
    <row r="52" spans="1:69">
      <c r="A52" s="9"/>
      <c r="B52" s="9"/>
      <c r="C52" s="10">
        <f>SUMIF($3:$3,"入库",52:52)</f>
        <v>0</v>
      </c>
      <c r="D52" s="10">
        <f>SUMIF($3:$3,"出库",52:52)</f>
        <v>0</v>
      </c>
      <c r="E52" s="10">
        <f>B52+C52-D52</f>
        <v>0</v>
      </c>
      <c r="F52" s="9">
        <v>50</v>
      </c>
      <c r="G52" s="10" t="str">
        <f>IF(E52&lt;F52,"库存不足","库存充足")</f>
        <v>库存不足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</row>
    <row r="53" spans="1:69">
      <c r="A53" s="9"/>
      <c r="B53" s="9"/>
      <c r="C53" s="10">
        <f>SUMIF($3:$3,"入库",53:53)</f>
        <v>0</v>
      </c>
      <c r="D53" s="10">
        <f>SUMIF($3:$3,"出库",53:53)</f>
        <v>0</v>
      </c>
      <c r="E53" s="10">
        <f>B53+C53-D53</f>
        <v>0</v>
      </c>
      <c r="F53" s="9">
        <v>50</v>
      </c>
      <c r="G53" s="10" t="str">
        <f>IF(E53&lt;F53,"库存不足","库存充足")</f>
        <v>库存不足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</row>
    <row r="54" spans="1:69">
      <c r="A54" s="9"/>
      <c r="B54" s="9"/>
      <c r="C54" s="10">
        <f>SUMIF($3:$3,"入库",54:54)</f>
        <v>0</v>
      </c>
      <c r="D54" s="10">
        <f>SUMIF($3:$3,"出库",54:54)</f>
        <v>0</v>
      </c>
      <c r="E54" s="10">
        <f>B54+C54-D54</f>
        <v>0</v>
      </c>
      <c r="F54" s="9">
        <v>50</v>
      </c>
      <c r="G54" s="10" t="str">
        <f>IF(E54&lt;F54,"库存不足","库存充足")</f>
        <v>库存不足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</row>
    <row r="55" spans="1:69">
      <c r="A55" s="9"/>
      <c r="B55" s="9"/>
      <c r="C55" s="10">
        <f>SUMIF($3:$3,"入库",55:55)</f>
        <v>0</v>
      </c>
      <c r="D55" s="10">
        <f>SUMIF($3:$3,"出库",55:55)</f>
        <v>0</v>
      </c>
      <c r="E55" s="10">
        <f>B55+C55-D55</f>
        <v>0</v>
      </c>
      <c r="F55" s="9">
        <v>50</v>
      </c>
      <c r="G55" s="10" t="str">
        <f>IF(E55&lt;F55,"库存不足","库存充足")</f>
        <v>库存不足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</row>
    <row r="56" spans="1:69">
      <c r="A56" s="9"/>
      <c r="B56" s="9"/>
      <c r="C56" s="10">
        <f>SUMIF($3:$3,"入库",56:56)</f>
        <v>0</v>
      </c>
      <c r="D56" s="10">
        <f>SUMIF($3:$3,"出库",56:56)</f>
        <v>0</v>
      </c>
      <c r="E56" s="10">
        <f>B56+C56-D56</f>
        <v>0</v>
      </c>
      <c r="F56" s="9">
        <v>50</v>
      </c>
      <c r="G56" s="10" t="str">
        <f>IF(E56&lt;F56,"库存不足","库存充足")</f>
        <v>库存不足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</row>
    <row r="57" spans="1:69">
      <c r="A57" s="9"/>
      <c r="B57" s="9"/>
      <c r="C57" s="10">
        <f>SUMIF($3:$3,"入库",57:57)</f>
        <v>0</v>
      </c>
      <c r="D57" s="10">
        <f>SUMIF($3:$3,"出库",57:57)</f>
        <v>0</v>
      </c>
      <c r="E57" s="10">
        <f>B57+C57-D57</f>
        <v>0</v>
      </c>
      <c r="F57" s="9">
        <v>50</v>
      </c>
      <c r="G57" s="10" t="str">
        <f>IF(E57&lt;F57,"库存不足","库存充足")</f>
        <v>库存不足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</row>
    <row r="58" spans="1:69">
      <c r="A58" s="9"/>
      <c r="B58" s="9"/>
      <c r="C58" s="10">
        <f>SUMIF($3:$3,"入库",58:58)</f>
        <v>0</v>
      </c>
      <c r="D58" s="10">
        <f>SUMIF($3:$3,"出库",58:58)</f>
        <v>0</v>
      </c>
      <c r="E58" s="10">
        <f>B58+C58-D58</f>
        <v>0</v>
      </c>
      <c r="F58" s="9">
        <v>50</v>
      </c>
      <c r="G58" s="10" t="str">
        <f>IF(E58&lt;F58,"库存不足","库存充足")</f>
        <v>库存不足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</row>
    <row r="59" spans="1:69">
      <c r="A59" s="9"/>
      <c r="B59" s="9"/>
      <c r="C59" s="10">
        <f>SUMIF($3:$3,"入库",59:59)</f>
        <v>0</v>
      </c>
      <c r="D59" s="10">
        <f>SUMIF($3:$3,"出库",59:59)</f>
        <v>0</v>
      </c>
      <c r="E59" s="10">
        <f>B59+C59-D59</f>
        <v>0</v>
      </c>
      <c r="F59" s="9">
        <v>50</v>
      </c>
      <c r="G59" s="10" t="str">
        <f>IF(E59&lt;F59,"库存不足","库存充足")</f>
        <v>库存不足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</row>
    <row r="60" spans="1:69">
      <c r="A60" s="9"/>
      <c r="B60" s="9"/>
      <c r="C60" s="10">
        <f>SUMIF($3:$3,"入库",60:60)</f>
        <v>0</v>
      </c>
      <c r="D60" s="10">
        <f>SUMIF($3:$3,"出库",60:60)</f>
        <v>0</v>
      </c>
      <c r="E60" s="10">
        <f>B60+C60-D60</f>
        <v>0</v>
      </c>
      <c r="F60" s="9">
        <v>50</v>
      </c>
      <c r="G60" s="10" t="str">
        <f>IF(E60&lt;F60,"库存不足","库存充足")</f>
        <v>库存不足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59"/>
  <sheetViews>
    <sheetView workbookViewId="0">
      <pane xSplit="7" ySplit="3" topLeftCell="H24" activePane="bottomRight" state="frozen"/>
      <selection/>
      <selection pane="topRight"/>
      <selection pane="bottomLeft"/>
      <selection pane="bottomRight" activeCell="A4" sqref="$A4:$XFD45"/>
    </sheetView>
  </sheetViews>
  <sheetFormatPr defaultColWidth="9" defaultRowHeight="14"/>
  <cols>
    <col min="1" max="1" width="42.875" customWidth="1"/>
    <col min="2" max="2" width="11.125"/>
    <col min="8" max="69" width="4.625" style="2" customWidth="1"/>
  </cols>
  <sheetData>
    <row r="1" s="1" customFormat="1" ht="27" customHeight="1" spans="1:69">
      <c r="A1" s="3" t="s">
        <v>48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/>
      <c r="D18" s="10"/>
      <c r="E18" s="10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/>
      <c r="C19" s="10"/>
      <c r="D19" s="10"/>
      <c r="E19" s="10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/>
      <c r="C20" s="10"/>
      <c r="D20" s="10"/>
      <c r="E20" s="10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/>
      <c r="C21" s="10"/>
      <c r="D21" s="10"/>
      <c r="E21" s="10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/>
      <c r="C22" s="10"/>
      <c r="D22" s="10"/>
      <c r="E22" s="10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/>
      <c r="D23" s="10"/>
      <c r="E23" s="10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10"/>
      <c r="D24" s="10"/>
      <c r="E24" s="10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10"/>
      <c r="D25" s="10"/>
      <c r="E25" s="10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10"/>
      <c r="D26" s="10"/>
      <c r="E26" s="10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10"/>
      <c r="D27" s="10"/>
      <c r="E27" s="10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9"/>
      <c r="B28" s="9"/>
      <c r="C28" s="10"/>
      <c r="D28" s="10"/>
      <c r="E28" s="10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>
      <c r="A29" s="9"/>
      <c r="B29" s="9"/>
      <c r="C29" s="10"/>
      <c r="D29" s="10"/>
      <c r="E29" s="10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>
      <c r="A30" s="9"/>
      <c r="B30" s="9"/>
      <c r="C30" s="10"/>
      <c r="D30" s="10"/>
      <c r="E30" s="10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>
      <c r="A31" s="9"/>
      <c r="B31" s="9"/>
      <c r="C31" s="10"/>
      <c r="D31" s="10"/>
      <c r="E31" s="10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>
      <c r="A32" s="9"/>
      <c r="B32" s="9"/>
      <c r="C32" s="10"/>
      <c r="D32" s="10"/>
      <c r="E32" s="10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>
      <c r="A33" s="9"/>
      <c r="B33" s="9"/>
      <c r="C33" s="10"/>
      <c r="D33" s="10"/>
      <c r="E33" s="10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>
      <c r="A34" s="9"/>
      <c r="B34" s="9"/>
      <c r="C34" s="10"/>
      <c r="D34" s="10"/>
      <c r="E34" s="10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>
      <c r="A35" s="9"/>
      <c r="B35" s="9"/>
      <c r="C35" s="10"/>
      <c r="D35" s="10"/>
      <c r="E35" s="10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>
      <c r="A36" s="9"/>
      <c r="B36" s="9"/>
      <c r="C36" s="10"/>
      <c r="D36" s="10"/>
      <c r="E36" s="10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>
      <c r="A37" s="9"/>
      <c r="B37" s="9"/>
      <c r="C37" s="10"/>
      <c r="D37" s="10"/>
      <c r="E37" s="10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>
      <c r="A38" s="9"/>
      <c r="B38" s="9"/>
      <c r="C38" s="10"/>
      <c r="D38" s="10"/>
      <c r="E38" s="10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>
      <c r="A39" s="9"/>
      <c r="B39" s="9"/>
      <c r="C39" s="10"/>
      <c r="D39" s="10"/>
      <c r="E39" s="10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>
      <c r="A40" s="9"/>
      <c r="B40" s="9"/>
      <c r="C40" s="10"/>
      <c r="D40" s="10"/>
      <c r="E40" s="10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>
      <c r="A41" s="9"/>
      <c r="B41" s="9"/>
      <c r="C41" s="10"/>
      <c r="D41" s="10"/>
      <c r="E41" s="10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>
      <c r="A42" s="9"/>
      <c r="B42" s="9"/>
      <c r="C42" s="10"/>
      <c r="D42" s="10"/>
      <c r="E42" s="10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>
      <c r="A43" s="9"/>
      <c r="B43" s="9"/>
      <c r="C43" s="10"/>
      <c r="D43" s="10"/>
      <c r="E43" s="10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>
      <c r="A44" s="9"/>
      <c r="B44" s="9"/>
      <c r="C44" s="10"/>
      <c r="D44" s="10"/>
      <c r="E44" s="10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>
      <c r="A45" s="9"/>
      <c r="B45" s="9"/>
      <c r="C45" s="10"/>
      <c r="D45" s="10"/>
      <c r="E45" s="10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>
      <c r="A46" s="9"/>
      <c r="B46" s="9"/>
      <c r="C46" s="10">
        <f>SUMIF($3:$3,"入库",46:46)</f>
        <v>0</v>
      </c>
      <c r="D46" s="10">
        <f>SUMIF($3:$3,"出库",46:46)</f>
        <v>0</v>
      </c>
      <c r="E46" s="10">
        <f>B46+C46-D46</f>
        <v>0</v>
      </c>
      <c r="F46" s="9">
        <v>50</v>
      </c>
      <c r="G46" s="10" t="str">
        <f>IF(E46&lt;F46,"库存不足","库存充足")</f>
        <v>库存不足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10">
        <f>SUMIF($3:$3,"入库",47:47)</f>
        <v>0</v>
      </c>
      <c r="D47" s="10">
        <f>SUMIF($3:$3,"出库",47:47)</f>
        <v>0</v>
      </c>
      <c r="E47" s="10">
        <f>B47+C47-D47</f>
        <v>0</v>
      </c>
      <c r="F47" s="9">
        <v>50</v>
      </c>
      <c r="G47" s="10" t="str">
        <f>IF(E47&lt;F47,"库存不足","库存充足")</f>
        <v>库存不足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  <row r="48" spans="1:69">
      <c r="A48" s="9"/>
      <c r="B48" s="9"/>
      <c r="C48" s="10">
        <f>SUMIF($3:$3,"入库",48:48)</f>
        <v>0</v>
      </c>
      <c r="D48" s="10">
        <f>SUMIF($3:$3,"出库",48:48)</f>
        <v>0</v>
      </c>
      <c r="E48" s="10">
        <f>B48+C48-D48</f>
        <v>0</v>
      </c>
      <c r="F48" s="9">
        <v>50</v>
      </c>
      <c r="G48" s="10" t="str">
        <f>IF(E48&lt;F48,"库存不足","库存充足")</f>
        <v>库存不足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69">
      <c r="A49" s="9"/>
      <c r="B49" s="9"/>
      <c r="C49" s="10">
        <f>SUMIF($3:$3,"入库",49:49)</f>
        <v>0</v>
      </c>
      <c r="D49" s="10">
        <f>SUMIF($3:$3,"出库",49:49)</f>
        <v>0</v>
      </c>
      <c r="E49" s="10">
        <f>B49+C49-D49</f>
        <v>0</v>
      </c>
      <c r="F49" s="9">
        <v>50</v>
      </c>
      <c r="G49" s="10" t="str">
        <f>IF(E49&lt;F49,"库存不足","库存充足")</f>
        <v>库存不足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</row>
    <row r="50" spans="1:69">
      <c r="A50" s="9"/>
      <c r="B50" s="9"/>
      <c r="C50" s="10">
        <f>SUMIF($3:$3,"入库",50:50)</f>
        <v>0</v>
      </c>
      <c r="D50" s="10">
        <f>SUMIF($3:$3,"出库",50:50)</f>
        <v>0</v>
      </c>
      <c r="E50" s="10">
        <f>B50+C50-D50</f>
        <v>0</v>
      </c>
      <c r="F50" s="9">
        <v>50</v>
      </c>
      <c r="G50" s="10" t="str">
        <f>IF(E50&lt;F50,"库存不足","库存充足")</f>
        <v>库存不足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</row>
    <row r="51" spans="1:69">
      <c r="A51" s="9"/>
      <c r="B51" s="9"/>
      <c r="C51" s="10">
        <f>SUMIF($3:$3,"入库",51:51)</f>
        <v>0</v>
      </c>
      <c r="D51" s="10">
        <f>SUMIF($3:$3,"出库",51:51)</f>
        <v>0</v>
      </c>
      <c r="E51" s="10">
        <f>B51+C51-D51</f>
        <v>0</v>
      </c>
      <c r="F51" s="9">
        <v>50</v>
      </c>
      <c r="G51" s="10" t="str">
        <f>IF(E51&lt;F51,"库存不足","库存充足")</f>
        <v>库存不足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</row>
    <row r="52" spans="1:69">
      <c r="A52" s="9"/>
      <c r="B52" s="9"/>
      <c r="C52" s="10">
        <f>SUMIF($3:$3,"入库",52:52)</f>
        <v>0</v>
      </c>
      <c r="D52" s="10">
        <f>SUMIF($3:$3,"出库",52:52)</f>
        <v>0</v>
      </c>
      <c r="E52" s="10">
        <f>B52+C52-D52</f>
        <v>0</v>
      </c>
      <c r="F52" s="9">
        <v>50</v>
      </c>
      <c r="G52" s="10" t="str">
        <f>IF(E52&lt;F52,"库存不足","库存充足")</f>
        <v>库存不足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</row>
    <row r="53" spans="1:69">
      <c r="A53" s="9"/>
      <c r="B53" s="9"/>
      <c r="C53" s="10">
        <f>SUMIF($3:$3,"入库",53:53)</f>
        <v>0</v>
      </c>
      <c r="D53" s="10">
        <f>SUMIF($3:$3,"出库",53:53)</f>
        <v>0</v>
      </c>
      <c r="E53" s="10">
        <f>B53+C53-D53</f>
        <v>0</v>
      </c>
      <c r="F53" s="9">
        <v>50</v>
      </c>
      <c r="G53" s="10" t="str">
        <f>IF(E53&lt;F53,"库存不足","库存充足")</f>
        <v>库存不足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</row>
    <row r="54" spans="1:69">
      <c r="A54" s="9"/>
      <c r="B54" s="9"/>
      <c r="C54" s="10">
        <f>SUMIF($3:$3,"入库",54:54)</f>
        <v>0</v>
      </c>
      <c r="D54" s="10">
        <f>SUMIF($3:$3,"出库",54:54)</f>
        <v>0</v>
      </c>
      <c r="E54" s="10">
        <f>B54+C54-D54</f>
        <v>0</v>
      </c>
      <c r="F54" s="9">
        <v>50</v>
      </c>
      <c r="G54" s="10" t="str">
        <f>IF(E54&lt;F54,"库存不足","库存充足")</f>
        <v>库存不足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</row>
    <row r="55" spans="1:69">
      <c r="A55" s="9"/>
      <c r="B55" s="9"/>
      <c r="C55" s="10">
        <f>SUMIF($3:$3,"入库",55:55)</f>
        <v>0</v>
      </c>
      <c r="D55" s="10">
        <f>SUMIF($3:$3,"出库",55:55)</f>
        <v>0</v>
      </c>
      <c r="E55" s="10">
        <f>B55+C55-D55</f>
        <v>0</v>
      </c>
      <c r="F55" s="9">
        <v>50</v>
      </c>
      <c r="G55" s="10" t="str">
        <f>IF(E55&lt;F55,"库存不足","库存充足")</f>
        <v>库存不足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</row>
    <row r="56" spans="1:69">
      <c r="A56" s="9"/>
      <c r="B56" s="9"/>
      <c r="C56" s="10">
        <f>SUMIF($3:$3,"入库",56:56)</f>
        <v>0</v>
      </c>
      <c r="D56" s="10">
        <f>SUMIF($3:$3,"出库",56:56)</f>
        <v>0</v>
      </c>
      <c r="E56" s="10">
        <f>B56+C56-D56</f>
        <v>0</v>
      </c>
      <c r="F56" s="9">
        <v>50</v>
      </c>
      <c r="G56" s="10" t="str">
        <f>IF(E56&lt;F56,"库存不足","库存充足")</f>
        <v>库存不足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</row>
    <row r="57" spans="1:69">
      <c r="A57" s="9"/>
      <c r="B57" s="9"/>
      <c r="C57" s="10">
        <f>SUMIF($3:$3,"入库",57:57)</f>
        <v>0</v>
      </c>
      <c r="D57" s="10">
        <f>SUMIF($3:$3,"出库",57:57)</f>
        <v>0</v>
      </c>
      <c r="E57" s="10">
        <f>B57+C57-D57</f>
        <v>0</v>
      </c>
      <c r="F57" s="9">
        <v>50</v>
      </c>
      <c r="G57" s="10" t="str">
        <f>IF(E57&lt;F57,"库存不足","库存充足")</f>
        <v>库存不足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</row>
    <row r="58" spans="1:69">
      <c r="A58" s="9"/>
      <c r="B58" s="9"/>
      <c r="C58" s="10">
        <f>SUMIF($3:$3,"入库",58:58)</f>
        <v>0</v>
      </c>
      <c r="D58" s="10">
        <f>SUMIF($3:$3,"出库",58:58)</f>
        <v>0</v>
      </c>
      <c r="E58" s="10">
        <f>B58+C58-D58</f>
        <v>0</v>
      </c>
      <c r="F58" s="9">
        <v>50</v>
      </c>
      <c r="G58" s="10" t="str">
        <f>IF(E58&lt;F58,"库存不足","库存充足")</f>
        <v>库存不足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</row>
    <row r="59" spans="1:69">
      <c r="A59" s="9"/>
      <c r="B59" s="9"/>
      <c r="C59" s="10">
        <f>SUMIF($3:$3,"入库",59:59)</f>
        <v>0</v>
      </c>
      <c r="D59" s="10">
        <f>SUMIF($3:$3,"出库",59:59)</f>
        <v>0</v>
      </c>
      <c r="E59" s="10">
        <f>B59+C59-D59</f>
        <v>0</v>
      </c>
      <c r="F59" s="9">
        <v>50</v>
      </c>
      <c r="G59" s="10" t="str">
        <f>IF(E59&lt;F59,"库存不足","库存充足")</f>
        <v>库存不足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65"/>
  <sheetViews>
    <sheetView workbookViewId="0">
      <pane xSplit="7" ySplit="3" topLeftCell="H30" activePane="bottomRight" state="frozen"/>
      <selection/>
      <selection pane="topRight"/>
      <selection pane="bottomLeft"/>
      <selection pane="bottomRight" activeCell="A4" sqref="$A4:$XFD45"/>
    </sheetView>
  </sheetViews>
  <sheetFormatPr defaultColWidth="9" defaultRowHeight="14"/>
  <cols>
    <col min="1" max="1" width="43.125" customWidth="1"/>
    <col min="2" max="2" width="11.125"/>
    <col min="8" max="69" width="4.625" style="2" customWidth="1"/>
  </cols>
  <sheetData>
    <row r="1" s="1" customFormat="1" ht="27" customHeight="1" spans="1:69">
      <c r="A1" s="3" t="s">
        <v>49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/>
      <c r="D18" s="10"/>
      <c r="E18" s="10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/>
      <c r="C19" s="10"/>
      <c r="D19" s="10"/>
      <c r="E19" s="10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/>
      <c r="C20" s="10"/>
      <c r="D20" s="10"/>
      <c r="E20" s="10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/>
      <c r="C21" s="10"/>
      <c r="D21" s="10"/>
      <c r="E21" s="10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/>
      <c r="C22" s="10"/>
      <c r="D22" s="10"/>
      <c r="E22" s="10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/>
      <c r="D23" s="10"/>
      <c r="E23" s="10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10"/>
      <c r="D24" s="10"/>
      <c r="E24" s="10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10"/>
      <c r="D25" s="10"/>
      <c r="E25" s="10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10"/>
      <c r="D26" s="10"/>
      <c r="E26" s="10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10"/>
      <c r="D27" s="10"/>
      <c r="E27" s="10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9"/>
      <c r="B28" s="9"/>
      <c r="C28" s="10"/>
      <c r="D28" s="10"/>
      <c r="E28" s="10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>
      <c r="A29" s="9"/>
      <c r="B29" s="9"/>
      <c r="C29" s="10"/>
      <c r="D29" s="10"/>
      <c r="E29" s="10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>
      <c r="A30" s="9"/>
      <c r="B30" s="9"/>
      <c r="C30" s="10"/>
      <c r="D30" s="10"/>
      <c r="E30" s="10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>
      <c r="A31" s="9"/>
      <c r="B31" s="9"/>
      <c r="C31" s="10"/>
      <c r="D31" s="10"/>
      <c r="E31" s="10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>
      <c r="A32" s="9"/>
      <c r="B32" s="9"/>
      <c r="C32" s="10"/>
      <c r="D32" s="10"/>
      <c r="E32" s="10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>
      <c r="A33" s="9"/>
      <c r="B33" s="9"/>
      <c r="C33" s="10"/>
      <c r="D33" s="10"/>
      <c r="E33" s="10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>
      <c r="A34" s="9"/>
      <c r="B34" s="9"/>
      <c r="C34" s="10"/>
      <c r="D34" s="10"/>
      <c r="E34" s="10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>
      <c r="A35" s="9"/>
      <c r="B35" s="9"/>
      <c r="C35" s="10"/>
      <c r="D35" s="10"/>
      <c r="E35" s="10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>
      <c r="A36" s="9"/>
      <c r="B36" s="9"/>
      <c r="C36" s="10"/>
      <c r="D36" s="10"/>
      <c r="E36" s="10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>
      <c r="A37" s="9"/>
      <c r="B37" s="9"/>
      <c r="C37" s="10"/>
      <c r="D37" s="10"/>
      <c r="E37" s="10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>
      <c r="A38" s="9"/>
      <c r="B38" s="9"/>
      <c r="C38" s="10"/>
      <c r="D38" s="10"/>
      <c r="E38" s="10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>
      <c r="A39" s="9"/>
      <c r="B39" s="9"/>
      <c r="C39" s="10"/>
      <c r="D39" s="10"/>
      <c r="E39" s="10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>
      <c r="A40" s="9"/>
      <c r="B40" s="9"/>
      <c r="C40" s="10"/>
      <c r="D40" s="10"/>
      <c r="E40" s="10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>
      <c r="A41" s="9"/>
      <c r="B41" s="9"/>
      <c r="C41" s="10"/>
      <c r="D41" s="10"/>
      <c r="E41" s="10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>
      <c r="A42" s="9"/>
      <c r="B42" s="9"/>
      <c r="C42" s="10"/>
      <c r="D42" s="10"/>
      <c r="E42" s="10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>
      <c r="A43" s="9"/>
      <c r="B43" s="9"/>
      <c r="C43" s="10"/>
      <c r="D43" s="10"/>
      <c r="E43" s="10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>
      <c r="A44" s="9"/>
      <c r="B44" s="9"/>
      <c r="C44" s="10"/>
      <c r="D44" s="10"/>
      <c r="E44" s="10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>
      <c r="A45" s="9"/>
      <c r="B45" s="9"/>
      <c r="C45" s="10"/>
      <c r="D45" s="10"/>
      <c r="E45" s="10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>
      <c r="A46" s="9"/>
      <c r="B46" s="9"/>
      <c r="C46" s="10">
        <f t="shared" ref="C45:C65" si="0">SUMIF($3:$3,"入库",46:46)</f>
        <v>0</v>
      </c>
      <c r="D46" s="10">
        <f t="shared" ref="D45:D65" si="1">SUMIF($3:$3,"出库",46:46)</f>
        <v>0</v>
      </c>
      <c r="E46" s="10">
        <f t="shared" ref="E45:E65" si="2">B46+C46-D46</f>
        <v>0</v>
      </c>
      <c r="F46" s="9">
        <v>50</v>
      </c>
      <c r="G46" s="10" t="str">
        <f t="shared" ref="G45:G65" si="3">IF(E46&lt;F46,"库存不足","库存充足")</f>
        <v>库存不足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10">
        <f t="shared" si="0"/>
        <v>0</v>
      </c>
      <c r="D47" s="10">
        <f t="shared" si="1"/>
        <v>0</v>
      </c>
      <c r="E47" s="10">
        <f t="shared" si="2"/>
        <v>0</v>
      </c>
      <c r="F47" s="9">
        <v>50</v>
      </c>
      <c r="G47" s="10" t="str">
        <f t="shared" si="3"/>
        <v>库存不足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  <row r="48" spans="1:69">
      <c r="A48" s="9"/>
      <c r="B48" s="9"/>
      <c r="C48" s="10">
        <f t="shared" si="0"/>
        <v>0</v>
      </c>
      <c r="D48" s="10">
        <f t="shared" si="1"/>
        <v>0</v>
      </c>
      <c r="E48" s="10">
        <f t="shared" si="2"/>
        <v>0</v>
      </c>
      <c r="F48" s="9">
        <v>50</v>
      </c>
      <c r="G48" s="10" t="str">
        <f t="shared" si="3"/>
        <v>库存不足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69">
      <c r="A49" s="9"/>
      <c r="B49" s="9"/>
      <c r="C49" s="10">
        <f t="shared" si="0"/>
        <v>0</v>
      </c>
      <c r="D49" s="10">
        <f t="shared" si="1"/>
        <v>0</v>
      </c>
      <c r="E49" s="10">
        <f t="shared" si="2"/>
        <v>0</v>
      </c>
      <c r="F49" s="9">
        <v>50</v>
      </c>
      <c r="G49" s="10" t="str">
        <f t="shared" si="3"/>
        <v>库存不足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</row>
    <row r="50" spans="1:69">
      <c r="A50" s="9"/>
      <c r="B50" s="9"/>
      <c r="C50" s="10">
        <f t="shared" si="0"/>
        <v>0</v>
      </c>
      <c r="D50" s="10">
        <f t="shared" si="1"/>
        <v>0</v>
      </c>
      <c r="E50" s="10">
        <f t="shared" si="2"/>
        <v>0</v>
      </c>
      <c r="F50" s="9">
        <v>50</v>
      </c>
      <c r="G50" s="10" t="str">
        <f t="shared" si="3"/>
        <v>库存不足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</row>
    <row r="51" spans="1:69">
      <c r="A51" s="9"/>
      <c r="B51" s="9"/>
      <c r="C51" s="10">
        <f t="shared" si="0"/>
        <v>0</v>
      </c>
      <c r="D51" s="10">
        <f t="shared" si="1"/>
        <v>0</v>
      </c>
      <c r="E51" s="10">
        <f t="shared" si="2"/>
        <v>0</v>
      </c>
      <c r="F51" s="9">
        <v>50</v>
      </c>
      <c r="G51" s="10" t="str">
        <f t="shared" si="3"/>
        <v>库存不足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</row>
    <row r="52" spans="1:69">
      <c r="A52" s="9"/>
      <c r="B52" s="9"/>
      <c r="C52" s="10">
        <f t="shared" si="0"/>
        <v>0</v>
      </c>
      <c r="D52" s="10">
        <f t="shared" si="1"/>
        <v>0</v>
      </c>
      <c r="E52" s="10">
        <f t="shared" si="2"/>
        <v>0</v>
      </c>
      <c r="F52" s="9">
        <v>50</v>
      </c>
      <c r="G52" s="10" t="str">
        <f t="shared" si="3"/>
        <v>库存不足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</row>
    <row r="53" spans="1:69">
      <c r="A53" s="9"/>
      <c r="B53" s="9"/>
      <c r="C53" s="10">
        <f t="shared" si="0"/>
        <v>0</v>
      </c>
      <c r="D53" s="10">
        <f t="shared" si="1"/>
        <v>0</v>
      </c>
      <c r="E53" s="10">
        <f t="shared" si="2"/>
        <v>0</v>
      </c>
      <c r="F53" s="9">
        <v>50</v>
      </c>
      <c r="G53" s="10" t="str">
        <f t="shared" si="3"/>
        <v>库存不足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</row>
    <row r="54" spans="1:69">
      <c r="A54" s="9"/>
      <c r="B54" s="9"/>
      <c r="C54" s="10">
        <f t="shared" si="0"/>
        <v>0</v>
      </c>
      <c r="D54" s="10">
        <f t="shared" si="1"/>
        <v>0</v>
      </c>
      <c r="E54" s="10">
        <f t="shared" si="2"/>
        <v>0</v>
      </c>
      <c r="F54" s="9">
        <v>50</v>
      </c>
      <c r="G54" s="10" t="str">
        <f t="shared" si="3"/>
        <v>库存不足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</row>
    <row r="55" spans="1:69">
      <c r="A55" s="9"/>
      <c r="B55" s="9"/>
      <c r="C55" s="10">
        <f t="shared" si="0"/>
        <v>0</v>
      </c>
      <c r="D55" s="10">
        <f t="shared" si="1"/>
        <v>0</v>
      </c>
      <c r="E55" s="10">
        <f t="shared" si="2"/>
        <v>0</v>
      </c>
      <c r="F55" s="9">
        <v>50</v>
      </c>
      <c r="G55" s="10" t="str">
        <f t="shared" si="3"/>
        <v>库存不足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</row>
    <row r="56" spans="1:69">
      <c r="A56" s="9"/>
      <c r="B56" s="9"/>
      <c r="C56" s="10">
        <f t="shared" si="0"/>
        <v>0</v>
      </c>
      <c r="D56" s="10">
        <f t="shared" si="1"/>
        <v>0</v>
      </c>
      <c r="E56" s="10">
        <f t="shared" si="2"/>
        <v>0</v>
      </c>
      <c r="F56" s="9">
        <v>50</v>
      </c>
      <c r="G56" s="10" t="str">
        <f t="shared" si="3"/>
        <v>库存不足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</row>
    <row r="57" spans="1:69">
      <c r="A57" s="9"/>
      <c r="B57" s="9"/>
      <c r="C57" s="10">
        <f t="shared" si="0"/>
        <v>0</v>
      </c>
      <c r="D57" s="10">
        <f t="shared" si="1"/>
        <v>0</v>
      </c>
      <c r="E57" s="10">
        <f t="shared" si="2"/>
        <v>0</v>
      </c>
      <c r="F57" s="9">
        <v>50</v>
      </c>
      <c r="G57" s="10" t="str">
        <f t="shared" si="3"/>
        <v>库存不足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</row>
    <row r="58" spans="1:69">
      <c r="A58" s="9"/>
      <c r="B58" s="9"/>
      <c r="C58" s="10">
        <f t="shared" si="0"/>
        <v>0</v>
      </c>
      <c r="D58" s="10">
        <f t="shared" si="1"/>
        <v>0</v>
      </c>
      <c r="E58" s="10">
        <f t="shared" si="2"/>
        <v>0</v>
      </c>
      <c r="F58" s="9">
        <v>50</v>
      </c>
      <c r="G58" s="10" t="str">
        <f t="shared" si="3"/>
        <v>库存不足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</row>
    <row r="59" spans="1:69">
      <c r="A59" s="9"/>
      <c r="B59" s="9"/>
      <c r="C59" s="10">
        <f t="shared" si="0"/>
        <v>0</v>
      </c>
      <c r="D59" s="10">
        <f t="shared" si="1"/>
        <v>0</v>
      </c>
      <c r="E59" s="10">
        <f t="shared" si="2"/>
        <v>0</v>
      </c>
      <c r="F59" s="9">
        <v>50</v>
      </c>
      <c r="G59" s="10" t="str">
        <f t="shared" si="3"/>
        <v>库存不足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</row>
    <row r="60" spans="1:69">
      <c r="A60" s="9"/>
      <c r="B60" s="9"/>
      <c r="C60" s="10">
        <f t="shared" si="0"/>
        <v>0</v>
      </c>
      <c r="D60" s="10">
        <f t="shared" si="1"/>
        <v>0</v>
      </c>
      <c r="E60" s="10">
        <f t="shared" si="2"/>
        <v>0</v>
      </c>
      <c r="F60" s="9">
        <v>50</v>
      </c>
      <c r="G60" s="10" t="str">
        <f t="shared" si="3"/>
        <v>库存不足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</row>
    <row r="61" spans="1:69">
      <c r="A61" s="9"/>
      <c r="B61" s="9"/>
      <c r="C61" s="10">
        <f t="shared" si="0"/>
        <v>0</v>
      </c>
      <c r="D61" s="10">
        <f t="shared" si="1"/>
        <v>0</v>
      </c>
      <c r="E61" s="10">
        <f t="shared" si="2"/>
        <v>0</v>
      </c>
      <c r="F61" s="9">
        <v>50</v>
      </c>
      <c r="G61" s="10" t="str">
        <f t="shared" si="3"/>
        <v>库存不足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</row>
    <row r="62" spans="1:69">
      <c r="A62" s="9"/>
      <c r="B62" s="9"/>
      <c r="C62" s="10">
        <f t="shared" si="0"/>
        <v>0</v>
      </c>
      <c r="D62" s="10">
        <f t="shared" si="1"/>
        <v>0</v>
      </c>
      <c r="E62" s="10">
        <f t="shared" si="2"/>
        <v>0</v>
      </c>
      <c r="F62" s="9">
        <v>50</v>
      </c>
      <c r="G62" s="10" t="str">
        <f t="shared" si="3"/>
        <v>库存不足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</row>
    <row r="63" spans="1:69">
      <c r="A63" s="9"/>
      <c r="B63" s="9"/>
      <c r="C63" s="10">
        <f t="shared" si="0"/>
        <v>0</v>
      </c>
      <c r="D63" s="10">
        <f t="shared" si="1"/>
        <v>0</v>
      </c>
      <c r="E63" s="10">
        <f t="shared" si="2"/>
        <v>0</v>
      </c>
      <c r="F63" s="9">
        <v>50</v>
      </c>
      <c r="G63" s="10" t="str">
        <f t="shared" si="3"/>
        <v>库存不足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</row>
    <row r="64" spans="1:69">
      <c r="A64" s="9"/>
      <c r="B64" s="9"/>
      <c r="C64" s="10">
        <f t="shared" si="0"/>
        <v>0</v>
      </c>
      <c r="D64" s="10">
        <f t="shared" si="1"/>
        <v>0</v>
      </c>
      <c r="E64" s="10">
        <f t="shared" si="2"/>
        <v>0</v>
      </c>
      <c r="F64" s="9">
        <v>50</v>
      </c>
      <c r="G64" s="10" t="str">
        <f t="shared" si="3"/>
        <v>库存不足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</row>
    <row r="65" spans="1:69">
      <c r="A65" s="9"/>
      <c r="B65" s="9"/>
      <c r="C65" s="10">
        <f t="shared" si="0"/>
        <v>0</v>
      </c>
      <c r="D65" s="10">
        <f t="shared" si="1"/>
        <v>0</v>
      </c>
      <c r="E65" s="10">
        <f t="shared" si="2"/>
        <v>0</v>
      </c>
      <c r="F65" s="9">
        <v>50</v>
      </c>
      <c r="G65" s="10" t="str">
        <f t="shared" si="3"/>
        <v>库存不足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61"/>
  <sheetViews>
    <sheetView workbookViewId="0">
      <pane xSplit="7" ySplit="3" topLeftCell="H26" activePane="bottomRight" state="frozen"/>
      <selection/>
      <selection pane="topRight"/>
      <selection pane="bottomLeft"/>
      <selection pane="bottomRight" activeCell="A4" sqref="$A4:$XFD45"/>
    </sheetView>
  </sheetViews>
  <sheetFormatPr defaultColWidth="9" defaultRowHeight="14"/>
  <cols>
    <col min="1" max="1" width="42.5" customWidth="1"/>
    <col min="2" max="2" width="11.125"/>
    <col min="8" max="69" width="4.625" style="2" customWidth="1"/>
  </cols>
  <sheetData>
    <row r="1" s="1" customFormat="1" ht="27" customHeight="1" spans="1:69">
      <c r="A1" s="3" t="s">
        <v>50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/>
      <c r="D18" s="10"/>
      <c r="E18" s="10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/>
      <c r="C19" s="10"/>
      <c r="D19" s="10"/>
      <c r="E19" s="10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/>
      <c r="C20" s="10"/>
      <c r="D20" s="10"/>
      <c r="E20" s="10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/>
      <c r="C21" s="10"/>
      <c r="D21" s="10"/>
      <c r="E21" s="10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/>
      <c r="C22" s="10"/>
      <c r="D22" s="10"/>
      <c r="E22" s="10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/>
      <c r="D23" s="10"/>
      <c r="E23" s="10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10"/>
      <c r="D24" s="10"/>
      <c r="E24" s="10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10"/>
      <c r="D25" s="10"/>
      <c r="E25" s="10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10"/>
      <c r="D26" s="10"/>
      <c r="E26" s="10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10"/>
      <c r="D27" s="10"/>
      <c r="E27" s="10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9"/>
      <c r="B28" s="9"/>
      <c r="C28" s="10"/>
      <c r="D28" s="10"/>
      <c r="E28" s="10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>
      <c r="A29" s="9"/>
      <c r="B29" s="9"/>
      <c r="C29" s="10"/>
      <c r="D29" s="10"/>
      <c r="E29" s="10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>
      <c r="A30" s="9"/>
      <c r="B30" s="9"/>
      <c r="C30" s="10"/>
      <c r="D30" s="10"/>
      <c r="E30" s="10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>
      <c r="A31" s="9"/>
      <c r="B31" s="9"/>
      <c r="C31" s="10"/>
      <c r="D31" s="10"/>
      <c r="E31" s="10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>
      <c r="A32" s="9"/>
      <c r="B32" s="9"/>
      <c r="C32" s="10"/>
      <c r="D32" s="10"/>
      <c r="E32" s="10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>
      <c r="A33" s="9"/>
      <c r="B33" s="9"/>
      <c r="C33" s="10"/>
      <c r="D33" s="10"/>
      <c r="E33" s="10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>
      <c r="A34" s="9"/>
      <c r="B34" s="9"/>
      <c r="C34" s="10"/>
      <c r="D34" s="10"/>
      <c r="E34" s="10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>
      <c r="A35" s="9"/>
      <c r="B35" s="9"/>
      <c r="C35" s="10"/>
      <c r="D35" s="10"/>
      <c r="E35" s="10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>
      <c r="A36" s="9"/>
      <c r="B36" s="9"/>
      <c r="C36" s="10"/>
      <c r="D36" s="10"/>
      <c r="E36" s="10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>
      <c r="A37" s="9"/>
      <c r="B37" s="9"/>
      <c r="C37" s="10"/>
      <c r="D37" s="10"/>
      <c r="E37" s="10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>
      <c r="A38" s="9"/>
      <c r="B38" s="9"/>
      <c r="C38" s="10"/>
      <c r="D38" s="10"/>
      <c r="E38" s="10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>
      <c r="A39" s="9"/>
      <c r="B39" s="9"/>
      <c r="C39" s="10"/>
      <c r="D39" s="10"/>
      <c r="E39" s="10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>
      <c r="A40" s="9"/>
      <c r="B40" s="9"/>
      <c r="C40" s="10"/>
      <c r="D40" s="10"/>
      <c r="E40" s="10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>
      <c r="A41" s="9"/>
      <c r="B41" s="9"/>
      <c r="C41" s="10"/>
      <c r="D41" s="10"/>
      <c r="E41" s="10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>
      <c r="A42" s="9"/>
      <c r="B42" s="9"/>
      <c r="C42" s="10"/>
      <c r="D42" s="10"/>
      <c r="E42" s="10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>
      <c r="A43" s="9"/>
      <c r="B43" s="9"/>
      <c r="C43" s="10"/>
      <c r="D43" s="10"/>
      <c r="E43" s="10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>
      <c r="A44" s="9"/>
      <c r="B44" s="9"/>
      <c r="C44" s="10"/>
      <c r="D44" s="10"/>
      <c r="E44" s="10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>
      <c r="A45" s="9"/>
      <c r="B45" s="9"/>
      <c r="C45" s="10"/>
      <c r="D45" s="10"/>
      <c r="E45" s="10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>
      <c r="A46" s="9"/>
      <c r="B46" s="9"/>
      <c r="C46" s="10">
        <f t="shared" ref="C44:C61" si="0">SUMIF($3:$3,"入库",46:46)</f>
        <v>0</v>
      </c>
      <c r="D46" s="10">
        <f t="shared" ref="D44:D61" si="1">SUMIF($3:$3,"出库",46:46)</f>
        <v>0</v>
      </c>
      <c r="E46" s="10">
        <f t="shared" ref="E44:E61" si="2">B46+C46-D46</f>
        <v>0</v>
      </c>
      <c r="F46" s="9">
        <v>50</v>
      </c>
      <c r="G46" s="10" t="str">
        <f t="shared" ref="G44:G61" si="3">IF(E46&lt;F46,"库存不足","库存充足")</f>
        <v>库存不足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10">
        <f t="shared" si="0"/>
        <v>0</v>
      </c>
      <c r="D47" s="10">
        <f t="shared" si="1"/>
        <v>0</v>
      </c>
      <c r="E47" s="10">
        <f t="shared" si="2"/>
        <v>0</v>
      </c>
      <c r="F47" s="9">
        <v>50</v>
      </c>
      <c r="G47" s="10" t="str">
        <f t="shared" si="3"/>
        <v>库存不足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  <row r="48" spans="1:69">
      <c r="A48" s="9"/>
      <c r="B48" s="9"/>
      <c r="C48" s="10">
        <f t="shared" si="0"/>
        <v>0</v>
      </c>
      <c r="D48" s="10">
        <f t="shared" si="1"/>
        <v>0</v>
      </c>
      <c r="E48" s="10">
        <f t="shared" si="2"/>
        <v>0</v>
      </c>
      <c r="F48" s="9">
        <v>50</v>
      </c>
      <c r="G48" s="10" t="str">
        <f t="shared" si="3"/>
        <v>库存不足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69">
      <c r="A49" s="9"/>
      <c r="B49" s="9"/>
      <c r="C49" s="10">
        <f t="shared" si="0"/>
        <v>0</v>
      </c>
      <c r="D49" s="10">
        <f t="shared" si="1"/>
        <v>0</v>
      </c>
      <c r="E49" s="10">
        <f t="shared" si="2"/>
        <v>0</v>
      </c>
      <c r="F49" s="9">
        <v>50</v>
      </c>
      <c r="G49" s="10" t="str">
        <f t="shared" si="3"/>
        <v>库存不足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</row>
    <row r="50" spans="1:69">
      <c r="A50" s="9"/>
      <c r="B50" s="9"/>
      <c r="C50" s="10">
        <f t="shared" si="0"/>
        <v>0</v>
      </c>
      <c r="D50" s="10">
        <f t="shared" si="1"/>
        <v>0</v>
      </c>
      <c r="E50" s="10">
        <f t="shared" si="2"/>
        <v>0</v>
      </c>
      <c r="F50" s="9">
        <v>50</v>
      </c>
      <c r="G50" s="10" t="str">
        <f t="shared" si="3"/>
        <v>库存不足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</row>
    <row r="51" spans="1:69">
      <c r="A51" s="9"/>
      <c r="B51" s="9"/>
      <c r="C51" s="10">
        <f t="shared" si="0"/>
        <v>0</v>
      </c>
      <c r="D51" s="10">
        <f t="shared" si="1"/>
        <v>0</v>
      </c>
      <c r="E51" s="10">
        <f t="shared" si="2"/>
        <v>0</v>
      </c>
      <c r="F51" s="9">
        <v>50</v>
      </c>
      <c r="G51" s="10" t="str">
        <f t="shared" si="3"/>
        <v>库存不足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</row>
    <row r="52" spans="1:69">
      <c r="A52" s="9"/>
      <c r="B52" s="9"/>
      <c r="C52" s="10">
        <f t="shared" si="0"/>
        <v>0</v>
      </c>
      <c r="D52" s="10">
        <f t="shared" si="1"/>
        <v>0</v>
      </c>
      <c r="E52" s="10">
        <f t="shared" si="2"/>
        <v>0</v>
      </c>
      <c r="F52" s="9">
        <v>50</v>
      </c>
      <c r="G52" s="10" t="str">
        <f t="shared" si="3"/>
        <v>库存不足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</row>
    <row r="53" spans="1:69">
      <c r="A53" s="9"/>
      <c r="B53" s="9"/>
      <c r="C53" s="10">
        <f t="shared" si="0"/>
        <v>0</v>
      </c>
      <c r="D53" s="10">
        <f t="shared" si="1"/>
        <v>0</v>
      </c>
      <c r="E53" s="10">
        <f t="shared" si="2"/>
        <v>0</v>
      </c>
      <c r="F53" s="9">
        <v>50</v>
      </c>
      <c r="G53" s="10" t="str">
        <f t="shared" si="3"/>
        <v>库存不足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</row>
    <row r="54" spans="1:69">
      <c r="A54" s="9"/>
      <c r="B54" s="9"/>
      <c r="C54" s="10">
        <f t="shared" si="0"/>
        <v>0</v>
      </c>
      <c r="D54" s="10">
        <f t="shared" si="1"/>
        <v>0</v>
      </c>
      <c r="E54" s="10">
        <f t="shared" si="2"/>
        <v>0</v>
      </c>
      <c r="F54" s="9">
        <v>50</v>
      </c>
      <c r="G54" s="10" t="str">
        <f t="shared" si="3"/>
        <v>库存不足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</row>
    <row r="55" spans="1:69">
      <c r="A55" s="9"/>
      <c r="B55" s="9"/>
      <c r="C55" s="10">
        <f t="shared" si="0"/>
        <v>0</v>
      </c>
      <c r="D55" s="10">
        <f t="shared" si="1"/>
        <v>0</v>
      </c>
      <c r="E55" s="10">
        <f t="shared" si="2"/>
        <v>0</v>
      </c>
      <c r="F55" s="9">
        <v>50</v>
      </c>
      <c r="G55" s="10" t="str">
        <f t="shared" si="3"/>
        <v>库存不足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</row>
    <row r="56" spans="1:69">
      <c r="A56" s="9"/>
      <c r="B56" s="9"/>
      <c r="C56" s="10">
        <f t="shared" si="0"/>
        <v>0</v>
      </c>
      <c r="D56" s="10">
        <f t="shared" si="1"/>
        <v>0</v>
      </c>
      <c r="E56" s="10">
        <f t="shared" si="2"/>
        <v>0</v>
      </c>
      <c r="F56" s="9">
        <v>50</v>
      </c>
      <c r="G56" s="10" t="str">
        <f t="shared" si="3"/>
        <v>库存不足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</row>
    <row r="57" spans="1:69">
      <c r="A57" s="9"/>
      <c r="B57" s="9"/>
      <c r="C57" s="10">
        <f t="shared" si="0"/>
        <v>0</v>
      </c>
      <c r="D57" s="10">
        <f t="shared" si="1"/>
        <v>0</v>
      </c>
      <c r="E57" s="10">
        <f t="shared" si="2"/>
        <v>0</v>
      </c>
      <c r="F57" s="9">
        <v>50</v>
      </c>
      <c r="G57" s="10" t="str">
        <f t="shared" si="3"/>
        <v>库存不足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</row>
    <row r="58" spans="1:69">
      <c r="A58" s="9"/>
      <c r="B58" s="9"/>
      <c r="C58" s="10">
        <f t="shared" si="0"/>
        <v>0</v>
      </c>
      <c r="D58" s="10">
        <f t="shared" si="1"/>
        <v>0</v>
      </c>
      <c r="E58" s="10">
        <f t="shared" si="2"/>
        <v>0</v>
      </c>
      <c r="F58" s="9">
        <v>50</v>
      </c>
      <c r="G58" s="10" t="str">
        <f t="shared" si="3"/>
        <v>库存不足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</row>
    <row r="59" spans="1:69">
      <c r="A59" s="9"/>
      <c r="B59" s="9"/>
      <c r="C59" s="10">
        <f t="shared" si="0"/>
        <v>0</v>
      </c>
      <c r="D59" s="10">
        <f t="shared" si="1"/>
        <v>0</v>
      </c>
      <c r="E59" s="10">
        <f t="shared" si="2"/>
        <v>0</v>
      </c>
      <c r="F59" s="9">
        <v>50</v>
      </c>
      <c r="G59" s="10" t="str">
        <f t="shared" si="3"/>
        <v>库存不足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</row>
    <row r="60" spans="1:69">
      <c r="A60" s="9"/>
      <c r="B60" s="9"/>
      <c r="C60" s="10">
        <f t="shared" si="0"/>
        <v>0</v>
      </c>
      <c r="D60" s="10">
        <f t="shared" si="1"/>
        <v>0</v>
      </c>
      <c r="E60" s="10">
        <f t="shared" si="2"/>
        <v>0</v>
      </c>
      <c r="F60" s="9">
        <v>50</v>
      </c>
      <c r="G60" s="10" t="str">
        <f t="shared" si="3"/>
        <v>库存不足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</row>
    <row r="61" spans="1:69">
      <c r="A61" s="9"/>
      <c r="B61" s="9"/>
      <c r="C61" s="10">
        <f t="shared" si="0"/>
        <v>0</v>
      </c>
      <c r="D61" s="10">
        <f t="shared" si="1"/>
        <v>0</v>
      </c>
      <c r="E61" s="10">
        <f t="shared" si="2"/>
        <v>0</v>
      </c>
      <c r="F61" s="9">
        <v>50</v>
      </c>
      <c r="G61" s="10" t="str">
        <f t="shared" si="3"/>
        <v>库存不足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64"/>
  <sheetViews>
    <sheetView tabSelected="1" workbookViewId="0">
      <pane xSplit="7" ySplit="3" topLeftCell="H29" activePane="bottomRight" state="frozen"/>
      <selection/>
      <selection pane="topRight"/>
      <selection pane="bottomLeft"/>
      <selection pane="bottomRight" activeCell="A4" sqref="$A4:$XFD45"/>
    </sheetView>
  </sheetViews>
  <sheetFormatPr defaultColWidth="9" defaultRowHeight="14"/>
  <cols>
    <col min="1" max="1" width="35.875" customWidth="1"/>
    <col min="2" max="2" width="11.125"/>
    <col min="8" max="69" width="4.625" style="2" customWidth="1"/>
  </cols>
  <sheetData>
    <row r="1" s="1" customFormat="1" ht="27" customHeight="1" spans="1:69">
      <c r="A1" s="3" t="s">
        <v>51</v>
      </c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7"/>
      <c r="J2" s="6" t="s">
        <v>9</v>
      </c>
      <c r="K2" s="7"/>
      <c r="L2" s="6" t="s">
        <v>10</v>
      </c>
      <c r="M2" s="7"/>
      <c r="N2" s="6" t="s">
        <v>11</v>
      </c>
      <c r="O2" s="7"/>
      <c r="P2" s="6" t="s">
        <v>12</v>
      </c>
      <c r="Q2" s="7"/>
      <c r="R2" s="6" t="s">
        <v>13</v>
      </c>
      <c r="S2" s="7"/>
      <c r="T2" s="6" t="s">
        <v>14</v>
      </c>
      <c r="U2" s="7"/>
      <c r="V2" s="6" t="s">
        <v>15</v>
      </c>
      <c r="W2" s="7"/>
      <c r="X2" s="6" t="s">
        <v>16</v>
      </c>
      <c r="Y2" s="7"/>
      <c r="Z2" s="6" t="s">
        <v>17</v>
      </c>
      <c r="AA2" s="7"/>
      <c r="AB2" s="6" t="s">
        <v>18</v>
      </c>
      <c r="AC2" s="7"/>
      <c r="AD2" s="6" t="s">
        <v>19</v>
      </c>
      <c r="AE2" s="7"/>
      <c r="AF2" s="6" t="s">
        <v>20</v>
      </c>
      <c r="AG2" s="7"/>
      <c r="AH2" s="6" t="s">
        <v>21</v>
      </c>
      <c r="AI2" s="7"/>
      <c r="AJ2" s="6" t="s">
        <v>22</v>
      </c>
      <c r="AK2" s="7"/>
      <c r="AL2" s="6" t="s">
        <v>23</v>
      </c>
      <c r="AM2" s="7"/>
      <c r="AN2" s="6" t="s">
        <v>24</v>
      </c>
      <c r="AO2" s="7"/>
      <c r="AP2" s="6" t="s">
        <v>25</v>
      </c>
      <c r="AQ2" s="7"/>
      <c r="AR2" s="6" t="s">
        <v>26</v>
      </c>
      <c r="AS2" s="7"/>
      <c r="AT2" s="6" t="s">
        <v>27</v>
      </c>
      <c r="AU2" s="7"/>
      <c r="AV2" s="6" t="s">
        <v>28</v>
      </c>
      <c r="AW2" s="7"/>
      <c r="AX2" s="6" t="s">
        <v>29</v>
      </c>
      <c r="AY2" s="7"/>
      <c r="AZ2" s="6" t="s">
        <v>30</v>
      </c>
      <c r="BA2" s="7"/>
      <c r="BB2" s="6" t="s">
        <v>31</v>
      </c>
      <c r="BC2" s="7"/>
      <c r="BD2" s="6" t="s">
        <v>32</v>
      </c>
      <c r="BE2" s="7"/>
      <c r="BF2" s="6" t="s">
        <v>33</v>
      </c>
      <c r="BG2" s="7"/>
      <c r="BH2" s="6" t="s">
        <v>34</v>
      </c>
      <c r="BI2" s="7"/>
      <c r="BJ2" s="6" t="s">
        <v>35</v>
      </c>
      <c r="BK2" s="7"/>
      <c r="BL2" s="6" t="s">
        <v>36</v>
      </c>
      <c r="BM2" s="7"/>
      <c r="BN2" s="6" t="s">
        <v>37</v>
      </c>
      <c r="BO2" s="7"/>
      <c r="BP2" s="6" t="s">
        <v>38</v>
      </c>
      <c r="BQ2" s="7"/>
    </row>
    <row r="3" spans="1:69">
      <c r="A3" s="5"/>
      <c r="B3" s="5"/>
      <c r="C3" s="5"/>
      <c r="D3" s="5"/>
      <c r="E3" s="5"/>
      <c r="F3" s="5"/>
      <c r="G3" s="5"/>
      <c r="H3" s="8" t="s">
        <v>39</v>
      </c>
      <c r="I3" s="8" t="s">
        <v>40</v>
      </c>
      <c r="J3" s="8" t="s">
        <v>39</v>
      </c>
      <c r="K3" s="8" t="s">
        <v>40</v>
      </c>
      <c r="L3" s="8" t="s">
        <v>39</v>
      </c>
      <c r="M3" s="8" t="s">
        <v>40</v>
      </c>
      <c r="N3" s="8" t="s">
        <v>39</v>
      </c>
      <c r="O3" s="8" t="s">
        <v>40</v>
      </c>
      <c r="P3" s="8" t="s">
        <v>39</v>
      </c>
      <c r="Q3" s="8" t="s">
        <v>40</v>
      </c>
      <c r="R3" s="8" t="s">
        <v>39</v>
      </c>
      <c r="S3" s="8" t="s">
        <v>40</v>
      </c>
      <c r="T3" s="8" t="s">
        <v>39</v>
      </c>
      <c r="U3" s="8" t="s">
        <v>40</v>
      </c>
      <c r="V3" s="8" t="s">
        <v>39</v>
      </c>
      <c r="W3" s="8" t="s">
        <v>40</v>
      </c>
      <c r="X3" s="8" t="s">
        <v>39</v>
      </c>
      <c r="Y3" s="8" t="s">
        <v>40</v>
      </c>
      <c r="Z3" s="8" t="s">
        <v>39</v>
      </c>
      <c r="AA3" s="8" t="s">
        <v>40</v>
      </c>
      <c r="AB3" s="8" t="s">
        <v>39</v>
      </c>
      <c r="AC3" s="8" t="s">
        <v>40</v>
      </c>
      <c r="AD3" s="8" t="s">
        <v>39</v>
      </c>
      <c r="AE3" s="8" t="s">
        <v>40</v>
      </c>
      <c r="AF3" s="8" t="s">
        <v>39</v>
      </c>
      <c r="AG3" s="8" t="s">
        <v>40</v>
      </c>
      <c r="AH3" s="8" t="s">
        <v>39</v>
      </c>
      <c r="AI3" s="8" t="s">
        <v>40</v>
      </c>
      <c r="AJ3" s="8" t="s">
        <v>39</v>
      </c>
      <c r="AK3" s="8" t="s">
        <v>40</v>
      </c>
      <c r="AL3" s="8" t="s">
        <v>39</v>
      </c>
      <c r="AM3" s="8" t="s">
        <v>40</v>
      </c>
      <c r="AN3" s="8" t="s">
        <v>39</v>
      </c>
      <c r="AO3" s="8" t="s">
        <v>40</v>
      </c>
      <c r="AP3" s="8" t="s">
        <v>39</v>
      </c>
      <c r="AQ3" s="8" t="s">
        <v>40</v>
      </c>
      <c r="AR3" s="8" t="s">
        <v>39</v>
      </c>
      <c r="AS3" s="8" t="s">
        <v>40</v>
      </c>
      <c r="AT3" s="8" t="s">
        <v>39</v>
      </c>
      <c r="AU3" s="8" t="s">
        <v>40</v>
      </c>
      <c r="AV3" s="8" t="s">
        <v>39</v>
      </c>
      <c r="AW3" s="8" t="s">
        <v>40</v>
      </c>
      <c r="AX3" s="8" t="s">
        <v>39</v>
      </c>
      <c r="AY3" s="8" t="s">
        <v>40</v>
      </c>
      <c r="AZ3" s="8" t="s">
        <v>39</v>
      </c>
      <c r="BA3" s="8" t="s">
        <v>40</v>
      </c>
      <c r="BB3" s="8" t="s">
        <v>39</v>
      </c>
      <c r="BC3" s="8" t="s">
        <v>40</v>
      </c>
      <c r="BD3" s="8" t="s">
        <v>39</v>
      </c>
      <c r="BE3" s="8" t="s">
        <v>40</v>
      </c>
      <c r="BF3" s="8" t="s">
        <v>39</v>
      </c>
      <c r="BG3" s="8" t="s">
        <v>40</v>
      </c>
      <c r="BH3" s="8" t="s">
        <v>39</v>
      </c>
      <c r="BI3" s="8" t="s">
        <v>40</v>
      </c>
      <c r="BJ3" s="8" t="s">
        <v>39</v>
      </c>
      <c r="BK3" s="8" t="s">
        <v>40</v>
      </c>
      <c r="BL3" s="8" t="s">
        <v>39</v>
      </c>
      <c r="BM3" s="8" t="s">
        <v>40</v>
      </c>
      <c r="BN3" s="8" t="s">
        <v>39</v>
      </c>
      <c r="BO3" s="8" t="s">
        <v>40</v>
      </c>
      <c r="BP3" s="8" t="s">
        <v>39</v>
      </c>
      <c r="BQ3" s="8" t="s">
        <v>40</v>
      </c>
    </row>
    <row r="4" spans="1:69">
      <c r="A4" s="9"/>
      <c r="B4" s="9"/>
      <c r="C4" s="10"/>
      <c r="D4" s="10"/>
      <c r="E4" s="10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</row>
    <row r="5" spans="1:69">
      <c r="A5" s="9"/>
      <c r="B5" s="9"/>
      <c r="C5" s="10"/>
      <c r="D5" s="10"/>
      <c r="E5" s="10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</row>
    <row r="6" spans="1:69">
      <c r="A6" s="9"/>
      <c r="B6" s="9"/>
      <c r="C6" s="10"/>
      <c r="D6" s="10"/>
      <c r="E6" s="10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</row>
    <row r="7" spans="1:69">
      <c r="A7" s="9"/>
      <c r="B7" s="9"/>
      <c r="C7" s="10"/>
      <c r="D7" s="10"/>
      <c r="E7" s="10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</row>
    <row r="8" spans="1:69">
      <c r="A8" s="9"/>
      <c r="B8" s="9"/>
      <c r="C8" s="10"/>
      <c r="D8" s="10"/>
      <c r="E8" s="10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</row>
    <row r="9" spans="1:69">
      <c r="A9" s="9"/>
      <c r="B9" s="9"/>
      <c r="C9" s="10"/>
      <c r="D9" s="10"/>
      <c r="E9" s="10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</row>
    <row r="10" spans="1:69">
      <c r="A10" s="9"/>
      <c r="B10" s="9"/>
      <c r="C10" s="10"/>
      <c r="D10" s="10"/>
      <c r="E10" s="10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</row>
    <row r="11" spans="1:69">
      <c r="A11" s="9"/>
      <c r="B11" s="9"/>
      <c r="C11" s="10"/>
      <c r="D11" s="10"/>
      <c r="E11" s="10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</row>
    <row r="12" spans="1:69">
      <c r="A12" s="9"/>
      <c r="B12" s="9"/>
      <c r="C12" s="10"/>
      <c r="D12" s="10"/>
      <c r="E12" s="10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</row>
    <row r="13" spans="1:69">
      <c r="A13" s="9"/>
      <c r="B13" s="9"/>
      <c r="C13" s="10"/>
      <c r="D13" s="10"/>
      <c r="E13" s="10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</row>
    <row r="14" spans="1:69">
      <c r="A14" s="9"/>
      <c r="B14" s="9"/>
      <c r="C14" s="10"/>
      <c r="D14" s="10"/>
      <c r="E14" s="10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</row>
    <row r="15" spans="1:69">
      <c r="A15" s="9"/>
      <c r="B15" s="9"/>
      <c r="C15" s="10"/>
      <c r="D15" s="10"/>
      <c r="E15" s="10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</row>
    <row r="16" spans="1:69">
      <c r="A16" s="9"/>
      <c r="B16" s="9"/>
      <c r="C16" s="10"/>
      <c r="D16" s="10"/>
      <c r="E16" s="10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</row>
    <row r="17" spans="1:69">
      <c r="A17" s="9"/>
      <c r="B17" s="9"/>
      <c r="C17" s="10"/>
      <c r="D17" s="10"/>
      <c r="E17" s="10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</row>
    <row r="18" spans="1:69">
      <c r="A18" s="9"/>
      <c r="B18" s="9"/>
      <c r="C18" s="10"/>
      <c r="D18" s="10"/>
      <c r="E18" s="10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</row>
    <row r="19" spans="1:69">
      <c r="A19" s="9"/>
      <c r="B19" s="9"/>
      <c r="C19" s="10"/>
      <c r="D19" s="10"/>
      <c r="E19" s="10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</row>
    <row r="20" spans="1:69">
      <c r="A20" s="9"/>
      <c r="B20" s="9"/>
      <c r="C20" s="10"/>
      <c r="D20" s="10"/>
      <c r="E20" s="10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</row>
    <row r="21" spans="1:69">
      <c r="A21" s="9"/>
      <c r="B21" s="9"/>
      <c r="C21" s="10"/>
      <c r="D21" s="10"/>
      <c r="E21" s="10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</row>
    <row r="22" spans="1:69">
      <c r="A22" s="9"/>
      <c r="B22" s="9"/>
      <c r="C22" s="10"/>
      <c r="D22" s="10"/>
      <c r="E22" s="10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</row>
    <row r="23" spans="1:69">
      <c r="A23" s="9"/>
      <c r="B23" s="9"/>
      <c r="C23" s="10"/>
      <c r="D23" s="10"/>
      <c r="E23" s="10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</row>
    <row r="24" spans="1:69">
      <c r="A24" s="9"/>
      <c r="B24" s="9"/>
      <c r="C24" s="10"/>
      <c r="D24" s="10"/>
      <c r="E24" s="10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</row>
    <row r="25" spans="1:69">
      <c r="A25" s="9"/>
      <c r="B25" s="9"/>
      <c r="C25" s="10"/>
      <c r="D25" s="10"/>
      <c r="E25" s="10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</row>
    <row r="26" spans="1:69">
      <c r="A26" s="9"/>
      <c r="B26" s="9"/>
      <c r="C26" s="10"/>
      <c r="D26" s="10"/>
      <c r="E26" s="10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</row>
    <row r="27" spans="1:69">
      <c r="A27" s="9"/>
      <c r="B27" s="9"/>
      <c r="C27" s="10"/>
      <c r="D27" s="10"/>
      <c r="E27" s="10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</row>
    <row r="28" spans="1:69">
      <c r="A28" s="9"/>
      <c r="B28" s="9"/>
      <c r="C28" s="10"/>
      <c r="D28" s="10"/>
      <c r="E28" s="10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</row>
    <row r="29" spans="1:69">
      <c r="A29" s="9"/>
      <c r="B29" s="9"/>
      <c r="C29" s="10"/>
      <c r="D29" s="10"/>
      <c r="E29" s="10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</row>
    <row r="30" spans="1:69">
      <c r="A30" s="9"/>
      <c r="B30" s="9"/>
      <c r="C30" s="10"/>
      <c r="D30" s="10"/>
      <c r="E30" s="10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</row>
    <row r="31" spans="1:69">
      <c r="A31" s="9"/>
      <c r="B31" s="9"/>
      <c r="C31" s="10"/>
      <c r="D31" s="10"/>
      <c r="E31" s="10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</row>
    <row r="32" spans="1:69">
      <c r="A32" s="9"/>
      <c r="B32" s="9"/>
      <c r="C32" s="10"/>
      <c r="D32" s="10"/>
      <c r="E32" s="10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</row>
    <row r="33" spans="1:69">
      <c r="A33" s="9"/>
      <c r="B33" s="9"/>
      <c r="C33" s="10"/>
      <c r="D33" s="10"/>
      <c r="E33" s="10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</row>
    <row r="34" spans="1:69">
      <c r="A34" s="9"/>
      <c r="B34" s="9"/>
      <c r="C34" s="10"/>
      <c r="D34" s="10"/>
      <c r="E34" s="10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</row>
    <row r="35" spans="1:69">
      <c r="A35" s="9"/>
      <c r="B35" s="9"/>
      <c r="C35" s="10"/>
      <c r="D35" s="10"/>
      <c r="E35" s="10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</row>
    <row r="36" spans="1:69">
      <c r="A36" s="9"/>
      <c r="B36" s="9"/>
      <c r="C36" s="10"/>
      <c r="D36" s="10"/>
      <c r="E36" s="10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</row>
    <row r="37" spans="1:69">
      <c r="A37" s="9"/>
      <c r="B37" s="9"/>
      <c r="C37" s="10"/>
      <c r="D37" s="10"/>
      <c r="E37" s="10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</row>
    <row r="38" spans="1:69">
      <c r="A38" s="9"/>
      <c r="B38" s="9"/>
      <c r="C38" s="10"/>
      <c r="D38" s="10"/>
      <c r="E38" s="10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</row>
    <row r="39" spans="1:69">
      <c r="A39" s="9"/>
      <c r="B39" s="9"/>
      <c r="C39" s="10"/>
      <c r="D39" s="10"/>
      <c r="E39" s="10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</row>
    <row r="40" spans="1:69">
      <c r="A40" s="9"/>
      <c r="B40" s="9"/>
      <c r="C40" s="10"/>
      <c r="D40" s="10"/>
      <c r="E40" s="10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</row>
    <row r="41" spans="1:69">
      <c r="A41" s="9"/>
      <c r="B41" s="9"/>
      <c r="C41" s="10"/>
      <c r="D41" s="10"/>
      <c r="E41" s="10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</row>
    <row r="42" spans="1:69">
      <c r="A42" s="9"/>
      <c r="B42" s="9"/>
      <c r="C42" s="10"/>
      <c r="D42" s="10"/>
      <c r="E42" s="10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</row>
    <row r="43" spans="1:69">
      <c r="A43" s="9"/>
      <c r="B43" s="9"/>
      <c r="C43" s="10"/>
      <c r="D43" s="10"/>
      <c r="E43" s="10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</row>
    <row r="44" spans="1:69">
      <c r="A44" s="9"/>
      <c r="B44" s="9"/>
      <c r="C44" s="10"/>
      <c r="D44" s="10"/>
      <c r="E44" s="10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</row>
    <row r="45" spans="1:69">
      <c r="A45" s="9"/>
      <c r="B45" s="9"/>
      <c r="C45" s="10"/>
      <c r="D45" s="10"/>
      <c r="E45" s="10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</row>
    <row r="46" spans="1:69">
      <c r="A46" s="9"/>
      <c r="B46" s="9"/>
      <c r="C46" s="10">
        <f t="shared" ref="C44:C64" si="0">SUMIF($3:$3,"入库",46:46)</f>
        <v>0</v>
      </c>
      <c r="D46" s="10">
        <f t="shared" ref="D44:D64" si="1">SUMIF($3:$3,"出库",46:46)</f>
        <v>0</v>
      </c>
      <c r="E46" s="10">
        <f t="shared" ref="E44:E64" si="2">B46+C46-D46</f>
        <v>0</v>
      </c>
      <c r="F46" s="9">
        <v>50</v>
      </c>
      <c r="G46" s="10" t="str">
        <f t="shared" ref="G44:G64" si="3">IF(E46&lt;F46,"库存不足","库存充足")</f>
        <v>库存不足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</row>
    <row r="47" spans="1:69">
      <c r="A47" s="9"/>
      <c r="B47" s="9"/>
      <c r="C47" s="10">
        <f t="shared" si="0"/>
        <v>0</v>
      </c>
      <c r="D47" s="10">
        <f t="shared" si="1"/>
        <v>0</v>
      </c>
      <c r="E47" s="10">
        <f t="shared" si="2"/>
        <v>0</v>
      </c>
      <c r="F47" s="9">
        <v>50</v>
      </c>
      <c r="G47" s="10" t="str">
        <f t="shared" si="3"/>
        <v>库存不足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  <row r="48" spans="1:69">
      <c r="A48" s="9"/>
      <c r="B48" s="9"/>
      <c r="C48" s="10">
        <f t="shared" si="0"/>
        <v>0</v>
      </c>
      <c r="D48" s="10">
        <f t="shared" si="1"/>
        <v>0</v>
      </c>
      <c r="E48" s="10">
        <f t="shared" si="2"/>
        <v>0</v>
      </c>
      <c r="F48" s="9">
        <v>50</v>
      </c>
      <c r="G48" s="10" t="str">
        <f t="shared" si="3"/>
        <v>库存不足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</row>
    <row r="49" spans="1:69">
      <c r="A49" s="9"/>
      <c r="B49" s="9"/>
      <c r="C49" s="10">
        <f t="shared" si="0"/>
        <v>0</v>
      </c>
      <c r="D49" s="10">
        <f t="shared" si="1"/>
        <v>0</v>
      </c>
      <c r="E49" s="10">
        <f t="shared" si="2"/>
        <v>0</v>
      </c>
      <c r="F49" s="9">
        <v>50</v>
      </c>
      <c r="G49" s="10" t="str">
        <f t="shared" si="3"/>
        <v>库存不足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</row>
    <row r="50" spans="1:69">
      <c r="A50" s="9"/>
      <c r="B50" s="9"/>
      <c r="C50" s="10">
        <f t="shared" si="0"/>
        <v>0</v>
      </c>
      <c r="D50" s="10">
        <f t="shared" si="1"/>
        <v>0</v>
      </c>
      <c r="E50" s="10">
        <f t="shared" si="2"/>
        <v>0</v>
      </c>
      <c r="F50" s="9">
        <v>50</v>
      </c>
      <c r="G50" s="10" t="str">
        <f t="shared" si="3"/>
        <v>库存不足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</row>
    <row r="51" spans="1:69">
      <c r="A51" s="9"/>
      <c r="B51" s="9"/>
      <c r="C51" s="10">
        <f t="shared" si="0"/>
        <v>0</v>
      </c>
      <c r="D51" s="10">
        <f t="shared" si="1"/>
        <v>0</v>
      </c>
      <c r="E51" s="10">
        <f t="shared" si="2"/>
        <v>0</v>
      </c>
      <c r="F51" s="9">
        <v>50</v>
      </c>
      <c r="G51" s="10" t="str">
        <f t="shared" si="3"/>
        <v>库存不足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</row>
    <row r="52" spans="1:69">
      <c r="A52" s="9"/>
      <c r="B52" s="9"/>
      <c r="C52" s="10">
        <f t="shared" si="0"/>
        <v>0</v>
      </c>
      <c r="D52" s="10">
        <f t="shared" si="1"/>
        <v>0</v>
      </c>
      <c r="E52" s="10">
        <f t="shared" si="2"/>
        <v>0</v>
      </c>
      <c r="F52" s="9">
        <v>50</v>
      </c>
      <c r="G52" s="10" t="str">
        <f t="shared" si="3"/>
        <v>库存不足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</row>
    <row r="53" spans="1:69">
      <c r="A53" s="9"/>
      <c r="B53" s="9"/>
      <c r="C53" s="10">
        <f t="shared" si="0"/>
        <v>0</v>
      </c>
      <c r="D53" s="10">
        <f t="shared" si="1"/>
        <v>0</v>
      </c>
      <c r="E53" s="10">
        <f t="shared" si="2"/>
        <v>0</v>
      </c>
      <c r="F53" s="9">
        <v>50</v>
      </c>
      <c r="G53" s="10" t="str">
        <f t="shared" si="3"/>
        <v>库存不足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</row>
    <row r="54" spans="1:69">
      <c r="A54" s="9"/>
      <c r="B54" s="9"/>
      <c r="C54" s="10">
        <f t="shared" si="0"/>
        <v>0</v>
      </c>
      <c r="D54" s="10">
        <f t="shared" si="1"/>
        <v>0</v>
      </c>
      <c r="E54" s="10">
        <f t="shared" si="2"/>
        <v>0</v>
      </c>
      <c r="F54" s="9">
        <v>50</v>
      </c>
      <c r="G54" s="10" t="str">
        <f t="shared" si="3"/>
        <v>库存不足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</row>
    <row r="55" spans="1:69">
      <c r="A55" s="9"/>
      <c r="B55" s="9"/>
      <c r="C55" s="10">
        <f t="shared" si="0"/>
        <v>0</v>
      </c>
      <c r="D55" s="10">
        <f t="shared" si="1"/>
        <v>0</v>
      </c>
      <c r="E55" s="10">
        <f t="shared" si="2"/>
        <v>0</v>
      </c>
      <c r="F55" s="9">
        <v>50</v>
      </c>
      <c r="G55" s="10" t="str">
        <f t="shared" si="3"/>
        <v>库存不足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</row>
    <row r="56" spans="1:69">
      <c r="A56" s="9"/>
      <c r="B56" s="9"/>
      <c r="C56" s="10">
        <f t="shared" si="0"/>
        <v>0</v>
      </c>
      <c r="D56" s="10">
        <f t="shared" si="1"/>
        <v>0</v>
      </c>
      <c r="E56" s="10">
        <f t="shared" si="2"/>
        <v>0</v>
      </c>
      <c r="F56" s="9">
        <v>50</v>
      </c>
      <c r="G56" s="10" t="str">
        <f t="shared" si="3"/>
        <v>库存不足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</row>
    <row r="57" spans="1:69">
      <c r="A57" s="9"/>
      <c r="B57" s="9"/>
      <c r="C57" s="10">
        <f t="shared" si="0"/>
        <v>0</v>
      </c>
      <c r="D57" s="10">
        <f t="shared" si="1"/>
        <v>0</v>
      </c>
      <c r="E57" s="10">
        <f t="shared" si="2"/>
        <v>0</v>
      </c>
      <c r="F57" s="9">
        <v>50</v>
      </c>
      <c r="G57" s="10" t="str">
        <f t="shared" si="3"/>
        <v>库存不足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</row>
    <row r="58" spans="1:69">
      <c r="A58" s="9"/>
      <c r="B58" s="9"/>
      <c r="C58" s="10">
        <f t="shared" si="0"/>
        <v>0</v>
      </c>
      <c r="D58" s="10">
        <f t="shared" si="1"/>
        <v>0</v>
      </c>
      <c r="E58" s="10">
        <f t="shared" si="2"/>
        <v>0</v>
      </c>
      <c r="F58" s="9">
        <v>50</v>
      </c>
      <c r="G58" s="10" t="str">
        <f t="shared" si="3"/>
        <v>库存不足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</row>
    <row r="59" spans="1:69">
      <c r="A59" s="9"/>
      <c r="B59" s="9"/>
      <c r="C59" s="10">
        <f t="shared" si="0"/>
        <v>0</v>
      </c>
      <c r="D59" s="10">
        <f t="shared" si="1"/>
        <v>0</v>
      </c>
      <c r="E59" s="10">
        <f t="shared" si="2"/>
        <v>0</v>
      </c>
      <c r="F59" s="9">
        <v>50</v>
      </c>
      <c r="G59" s="10" t="str">
        <f t="shared" si="3"/>
        <v>库存不足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</row>
    <row r="60" spans="1:69">
      <c r="A60" s="9"/>
      <c r="B60" s="9"/>
      <c r="C60" s="10">
        <f t="shared" si="0"/>
        <v>0</v>
      </c>
      <c r="D60" s="10">
        <f t="shared" si="1"/>
        <v>0</v>
      </c>
      <c r="E60" s="10">
        <f t="shared" si="2"/>
        <v>0</v>
      </c>
      <c r="F60" s="9">
        <v>50</v>
      </c>
      <c r="G60" s="10" t="str">
        <f t="shared" si="3"/>
        <v>库存不足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</row>
    <row r="61" spans="1:69">
      <c r="A61" s="9"/>
      <c r="B61" s="9"/>
      <c r="C61" s="10">
        <f t="shared" si="0"/>
        <v>0</v>
      </c>
      <c r="D61" s="10">
        <f t="shared" si="1"/>
        <v>0</v>
      </c>
      <c r="E61" s="10">
        <f t="shared" si="2"/>
        <v>0</v>
      </c>
      <c r="F61" s="9">
        <v>50</v>
      </c>
      <c r="G61" s="10" t="str">
        <f t="shared" si="3"/>
        <v>库存不足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</row>
    <row r="62" spans="1:69">
      <c r="A62" s="9"/>
      <c r="B62" s="9"/>
      <c r="C62" s="10">
        <f t="shared" si="0"/>
        <v>0</v>
      </c>
      <c r="D62" s="10">
        <f t="shared" si="1"/>
        <v>0</v>
      </c>
      <c r="E62" s="10">
        <f t="shared" si="2"/>
        <v>0</v>
      </c>
      <c r="F62" s="9">
        <v>50</v>
      </c>
      <c r="G62" s="10" t="str">
        <f t="shared" si="3"/>
        <v>库存不足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</row>
    <row r="63" spans="1:69">
      <c r="A63" s="9"/>
      <c r="B63" s="9"/>
      <c r="C63" s="10">
        <f t="shared" si="0"/>
        <v>0</v>
      </c>
      <c r="D63" s="10">
        <f t="shared" si="1"/>
        <v>0</v>
      </c>
      <c r="E63" s="10">
        <f t="shared" si="2"/>
        <v>0</v>
      </c>
      <c r="F63" s="9">
        <v>50</v>
      </c>
      <c r="G63" s="10" t="str">
        <f t="shared" si="3"/>
        <v>库存不足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</row>
    <row r="64" spans="1:69">
      <c r="A64" s="9"/>
      <c r="B64" s="9"/>
      <c r="C64" s="10">
        <f t="shared" si="0"/>
        <v>0</v>
      </c>
      <c r="D64" s="10">
        <f t="shared" si="1"/>
        <v>0</v>
      </c>
      <c r="E64" s="10">
        <f t="shared" si="2"/>
        <v>0</v>
      </c>
      <c r="F64" s="9">
        <v>50</v>
      </c>
      <c r="G64" s="10" t="str">
        <f t="shared" si="3"/>
        <v>库存不足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</row>
  </sheetData>
  <mergeCells count="39">
    <mergeCell ref="A1:G1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A2:A3"/>
    <mergeCell ref="B2:B3"/>
    <mergeCell ref="C2:C3"/>
    <mergeCell ref="D2:D3"/>
    <mergeCell ref="E2:E3"/>
    <mergeCell ref="F2:F3"/>
    <mergeCell ref="G2:G3"/>
  </mergeCells>
  <conditionalFormatting sqref="G2:G1048576">
    <cfRule type="containsText" dxfId="0" priority="1" operator="between" text="库存不足">
      <formula>NOT(ISERROR(SEARCH("库存不足",G2)))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2026年1月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16003</cp:lastModifiedBy>
  <dcterms:created xsi:type="dcterms:W3CDTF">2023-05-12T11:15:00Z</dcterms:created>
  <dcterms:modified xsi:type="dcterms:W3CDTF">2026-07-08T07:12:40Z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A912823141414CFDAB38AD5ADA81FA76_13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