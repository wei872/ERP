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/>
  </bookViews>
  <sheets>
    <sheet name="2026年1月" sheetId="1" r:id="rId1"/>
    <sheet name="2月" sheetId="4" r:id="rId2"/>
    <sheet name="3月" sheetId="2" r:id="rId3"/>
    <sheet name="4月" sheetId="3" r:id="rId4"/>
    <sheet name="5月" sheetId="6" r:id="rId5"/>
    <sheet name="6月" sheetId="5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16003</author>
  </authors>
  <commentList>
    <comment ref="AO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出库成博2台</t>
        </r>
      </text>
    </comment>
    <comment ref="AM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出库成博50台</t>
        </r>
      </text>
    </comment>
    <comment ref="AO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出库众一衡50台</t>
        </r>
      </text>
    </comment>
  </commentList>
</comments>
</file>

<file path=xl/sharedStrings.xml><?xml version="1.0" encoding="utf-8"?>
<sst xmlns="http://schemas.openxmlformats.org/spreadsheetml/2006/main" count="1281" uniqueCount="66">
  <si>
    <t>2026年1月成品出入库统计表</t>
  </si>
  <si>
    <t>商品名称</t>
  </si>
  <si>
    <t>上月库存</t>
  </si>
  <si>
    <t>入库总量</t>
  </si>
  <si>
    <t>出库总量</t>
  </si>
  <si>
    <t>剩余库存</t>
  </si>
  <si>
    <t>预警标准</t>
  </si>
  <si>
    <t>库存状态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</si>
  <si>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</si>
  <si>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</si>
  <si>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</si>
  <si>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</si>
  <si>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</si>
  <si>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</si>
  <si>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</si>
  <si>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</si>
  <si>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</si>
  <si>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</si>
  <si>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</si>
  <si>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</si>
  <si>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</si>
  <si>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</si>
  <si>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</si>
  <si>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</si>
  <si>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</si>
  <si>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</si>
  <si>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</si>
  <si>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</si>
  <si>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</si>
  <si>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</si>
  <si>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</si>
  <si>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</si>
  <si>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</si>
  <si>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</si>
  <si>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</si>
  <si>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</si>
  <si>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</si>
  <si>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</si>
  <si>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</si>
  <si>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入库</t>
  </si>
  <si>
    <t>出库</t>
  </si>
  <si>
    <t>2026年2月出入库统计表</t>
  </si>
  <si>
    <t>2026年3月出入库统计表</t>
  </si>
  <si>
    <t>2026年4月出入库统计表</t>
  </si>
  <si>
    <t>2026年5月出入库统计表</t>
  </si>
  <si>
    <t>2026年6月出入库统计表</t>
  </si>
  <si>
    <t>2026年7月出入库统计表</t>
  </si>
  <si>
    <t>2026年8月出入库统计表</t>
  </si>
  <si>
    <t>T560</t>
  </si>
  <si>
    <t>T560+GPS</t>
  </si>
  <si>
    <t>T560+GPS+温湿度</t>
  </si>
  <si>
    <t>T360L</t>
  </si>
  <si>
    <t>T560L</t>
  </si>
  <si>
    <t>T560L+温湿度</t>
  </si>
  <si>
    <t>T560L+温湿度+GPS</t>
  </si>
  <si>
    <t>T560N矮版</t>
  </si>
  <si>
    <t>T560N矮版+GPS</t>
  </si>
  <si>
    <t>T560N矮版+GPS+温湿度</t>
  </si>
  <si>
    <t>T560N高版</t>
  </si>
  <si>
    <t>T560N高版+GPS</t>
  </si>
  <si>
    <t>T560N高版+GPS+温湿度</t>
  </si>
  <si>
    <t>打印机</t>
  </si>
  <si>
    <t>2026年9月出入库统计表</t>
  </si>
  <si>
    <t>2026年10月出入库统计表</t>
  </si>
  <si>
    <t>2026年11月出入库统计表</t>
  </si>
  <si>
    <t>2026年12月出入库统计表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</si>
</sst>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Continuous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tabSelected="1" workbookViewId="0">
      <pane xSplit="7" ySplit="3" topLeftCell="H4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2.75" style="18" customWidth="1"/>
    <col min="2" max="6" width="8.875" style="18" customWidth="1"/>
    <col min="7" max="7" width="9" style="18"/>
    <col min="8" max="69" width="4.625" style="19" customWidth="1"/>
    <col min="70" max="16384" width="9" style="18"/>
  </cols>
  <sheetData>
    <row r="1" s="4" customFormat="1" ht="27" customHeight="1" spans="1:69">
      <c r="A1" s="20" t="s">
        <v>0</v>
      </c>
      <c r="B1" s="20"/>
      <c r="C1" s="20"/>
      <c r="D1" s="20"/>
      <c r="E1" s="20"/>
      <c r="F1" s="20"/>
      <c r="G1" s="20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>
        <f t="shared" ref="C13:C41" si="0">SUMIF($3:$3,"入库",18:18)</f>
        <v>0</v>
      </c>
      <c r="D18" s="10">
        <f t="shared" ref="D13:D41" si="1">SUMIF($3:$3,"出库",18:18)</f>
        <v>0</v>
      </c>
      <c r="E18" s="10">
        <f t="shared" ref="E13:E41" si="2">B18+C18-D18</f>
        <v>0</v>
      </c>
      <c r="F18" s="9">
        <v>50</v>
      </c>
      <c r="G18" s="10" t="str">
        <f t="shared" ref="G13:G41" si="3">IF(E18&lt;F18,"库存不足","库存充足")</f>
        <v>库存不足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>
        <f t="shared" si="0"/>
        <v>0</v>
      </c>
      <c r="D23" s="10">
        <f t="shared" si="1"/>
        <v>0</v>
      </c>
      <c r="E23" s="10">
        <f t="shared" si="2"/>
        <v>0</v>
      </c>
      <c r="F23" s="9">
        <v>50</v>
      </c>
      <c r="G23" s="10" t="str">
        <f t="shared" si="3"/>
        <v>库存不足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>
        <f t="shared" si="0"/>
        <v>0</v>
      </c>
      <c r="D24" s="10">
        <f t="shared" si="1"/>
        <v>0</v>
      </c>
      <c r="E24" s="10">
        <f t="shared" si="2"/>
        <v>0</v>
      </c>
      <c r="F24" s="9">
        <v>50</v>
      </c>
      <c r="G24" s="10" t="str">
        <f t="shared" si="3"/>
        <v>库存不足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>
        <f t="shared" si="0"/>
        <v>0</v>
      </c>
      <c r="D25" s="10">
        <f t="shared" si="1"/>
        <v>0</v>
      </c>
      <c r="E25" s="10">
        <f t="shared" si="2"/>
        <v>0</v>
      </c>
      <c r="F25" s="9">
        <v>50</v>
      </c>
      <c r="G25" s="10" t="str">
        <f t="shared" si="3"/>
        <v>库存不足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>
        <f t="shared" si="0"/>
        <v>0</v>
      </c>
      <c r="D26" s="10">
        <f t="shared" si="1"/>
        <v>0</v>
      </c>
      <c r="E26" s="10">
        <f t="shared" si="2"/>
        <v>0</v>
      </c>
      <c r="F26" s="9">
        <v>50</v>
      </c>
      <c r="G26" s="10" t="str">
        <f t="shared" si="3"/>
        <v>库存不足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>
        <f t="shared" si="0"/>
        <v>0</v>
      </c>
      <c r="D27" s="10">
        <f t="shared" si="1"/>
        <v>0</v>
      </c>
      <c r="E27" s="10">
        <f t="shared" si="2"/>
        <v>0</v>
      </c>
      <c r="F27" s="9">
        <v>50</v>
      </c>
      <c r="G27" s="10" t="str">
        <f t="shared" si="3"/>
        <v>库存不足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>
        <f t="shared" si="0"/>
        <v>0</v>
      </c>
      <c r="D28" s="10">
        <f t="shared" si="1"/>
        <v>0</v>
      </c>
      <c r="E28" s="10">
        <f t="shared" si="2"/>
        <v>0</v>
      </c>
      <c r="F28" s="9">
        <v>50</v>
      </c>
      <c r="G28" s="10" t="str">
        <f t="shared" si="3"/>
        <v>库存不足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>
        <f t="shared" si="0"/>
        <v>0</v>
      </c>
      <c r="D29" s="10">
        <f t="shared" si="1"/>
        <v>0</v>
      </c>
      <c r="E29" s="10">
        <f t="shared" si="2"/>
        <v>0</v>
      </c>
      <c r="F29" s="9">
        <v>50</v>
      </c>
      <c r="G29" s="10" t="str">
        <f t="shared" si="3"/>
        <v>库存不足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>
        <f t="shared" si="0"/>
        <v>0</v>
      </c>
      <c r="D30" s="10">
        <f t="shared" si="1"/>
        <v>0</v>
      </c>
      <c r="E30" s="10">
        <f t="shared" si="2"/>
        <v>0</v>
      </c>
      <c r="F30" s="9">
        <v>50</v>
      </c>
      <c r="G30" s="10" t="str">
        <f t="shared" si="3"/>
        <v>库存不足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>
        <f t="shared" si="0"/>
        <v>0</v>
      </c>
      <c r="D31" s="10">
        <f t="shared" si="1"/>
        <v>0</v>
      </c>
      <c r="E31" s="10">
        <f t="shared" si="2"/>
        <v>0</v>
      </c>
      <c r="F31" s="9">
        <v>50</v>
      </c>
      <c r="G31" s="10" t="str">
        <f t="shared" si="3"/>
        <v>库存不足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>
        <f t="shared" si="0"/>
        <v>0</v>
      </c>
      <c r="D32" s="10">
        <f t="shared" si="1"/>
        <v>0</v>
      </c>
      <c r="E32" s="10">
        <f t="shared" si="2"/>
        <v>0</v>
      </c>
      <c r="F32" s="9">
        <v>50</v>
      </c>
      <c r="G32" s="10" t="str">
        <f t="shared" si="3"/>
        <v>库存不足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>
        <f t="shared" si="0"/>
        <v>0</v>
      </c>
      <c r="D33" s="10">
        <f t="shared" si="1"/>
        <v>0</v>
      </c>
      <c r="E33" s="10">
        <f t="shared" si="2"/>
        <v>0</v>
      </c>
      <c r="F33" s="9">
        <v>50</v>
      </c>
      <c r="G33" s="10" t="str">
        <f t="shared" si="3"/>
        <v>库存不足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>
        <f t="shared" si="0"/>
        <v>0</v>
      </c>
      <c r="D34" s="10">
        <f t="shared" si="1"/>
        <v>0</v>
      </c>
      <c r="E34" s="10">
        <f t="shared" si="2"/>
        <v>0</v>
      </c>
      <c r="F34" s="9">
        <v>50</v>
      </c>
      <c r="G34" s="10" t="str">
        <f t="shared" si="3"/>
        <v>库存不足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>
        <f t="shared" si="0"/>
        <v>0</v>
      </c>
      <c r="D35" s="10">
        <f t="shared" si="1"/>
        <v>0</v>
      </c>
      <c r="E35" s="10">
        <f t="shared" si="2"/>
        <v>0</v>
      </c>
      <c r="F35" s="9">
        <v>50</v>
      </c>
      <c r="G35" s="10" t="str">
        <f t="shared" si="3"/>
        <v>库存不足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>
        <f t="shared" si="0"/>
        <v>0</v>
      </c>
      <c r="D36" s="10">
        <f t="shared" si="1"/>
        <v>0</v>
      </c>
      <c r="E36" s="10">
        <f t="shared" si="2"/>
        <v>0</v>
      </c>
      <c r="F36" s="9">
        <v>50</v>
      </c>
      <c r="G36" s="10" t="str">
        <f t="shared" si="3"/>
        <v>库存不足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>
        <f t="shared" si="0"/>
        <v>0</v>
      </c>
      <c r="D37" s="10">
        <f t="shared" si="1"/>
        <v>0</v>
      </c>
      <c r="E37" s="10">
        <f t="shared" si="2"/>
        <v>0</v>
      </c>
      <c r="F37" s="9">
        <v>50</v>
      </c>
      <c r="G37" s="10" t="str">
        <f t="shared" si="3"/>
        <v>库存不足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>
        <f t="shared" si="0"/>
        <v>0</v>
      </c>
      <c r="D38" s="10">
        <f t="shared" si="1"/>
        <v>0</v>
      </c>
      <c r="E38" s="10">
        <f t="shared" si="2"/>
        <v>0</v>
      </c>
      <c r="F38" s="9">
        <v>50</v>
      </c>
      <c r="G38" s="10" t="str">
        <f t="shared" si="3"/>
        <v>库存不足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>
        <f t="shared" si="0"/>
        <v>0</v>
      </c>
      <c r="D39" s="10">
        <f t="shared" si="1"/>
        <v>0</v>
      </c>
      <c r="E39" s="10">
        <f t="shared" si="2"/>
        <v>0</v>
      </c>
      <c r="F39" s="9">
        <v>50</v>
      </c>
      <c r="G39" s="10" t="str">
        <f t="shared" si="3"/>
        <v>库存不足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>
        <f t="shared" si="0"/>
        <v>0</v>
      </c>
      <c r="D40" s="10">
        <f t="shared" si="1"/>
        <v>0</v>
      </c>
      <c r="E40" s="10">
        <f t="shared" si="2"/>
        <v>0</v>
      </c>
      <c r="F40" s="9">
        <v>50</v>
      </c>
      <c r="G40" s="10" t="str">
        <f t="shared" si="3"/>
        <v>库存不足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>
        <f t="shared" si="0"/>
        <v>0</v>
      </c>
      <c r="D41" s="10">
        <f t="shared" si="1"/>
        <v>0</v>
      </c>
      <c r="E41" s="10">
        <f t="shared" si="2"/>
        <v>0</v>
      </c>
      <c r="F41" s="9">
        <v>50</v>
      </c>
      <c r="G41" s="10" t="str">
        <f t="shared" si="3"/>
        <v>库存不足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>
        <f t="shared" ref="C42:C47" si="4">SUMIF($3:$3,"入库",42:42)</f>
        <v>0</v>
      </c>
      <c r="D42" s="10">
        <f t="shared" ref="D42:D47" si="5">SUMIF($3:$3,"出库",42:42)</f>
        <v>0</v>
      </c>
      <c r="E42" s="10">
        <f t="shared" ref="E42:E47" si="6">B42+C42-D42</f>
        <v>0</v>
      </c>
      <c r="F42" s="9">
        <v>50</v>
      </c>
      <c r="G42" s="10" t="str">
        <f t="shared" ref="G42:G47" si="7">IF(E42&lt;F42,"库存不足","库存充足")</f>
        <v>库存不足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>
        <f t="shared" si="4"/>
        <v>0</v>
      </c>
      <c r="D43" s="10">
        <f t="shared" si="5"/>
        <v>0</v>
      </c>
      <c r="E43" s="10">
        <f t="shared" si="6"/>
        <v>0</v>
      </c>
      <c r="F43" s="9">
        <v>50</v>
      </c>
      <c r="G43" s="10" t="str">
        <f t="shared" si="7"/>
        <v>库存不足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>
        <f t="shared" si="4"/>
        <v>0</v>
      </c>
      <c r="D44" s="10">
        <f t="shared" si="5"/>
        <v>0</v>
      </c>
      <c r="E44" s="10">
        <f t="shared" si="6"/>
        <v>0</v>
      </c>
      <c r="F44" s="9">
        <v>50</v>
      </c>
      <c r="G44" s="10" t="str">
        <f t="shared" si="7"/>
        <v>库存不足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>
        <f t="shared" si="4"/>
        <v>0</v>
      </c>
      <c r="D45" s="10">
        <f t="shared" si="5"/>
        <v>0</v>
      </c>
      <c r="E45" s="10">
        <f t="shared" si="6"/>
        <v>0</v>
      </c>
      <c r="F45" s="9">
        <v>50</v>
      </c>
      <c r="G45" s="10" t="str">
        <f t="shared" si="7"/>
        <v>库存不足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 t="shared" si="4"/>
        <v>0</v>
      </c>
      <c r="D46" s="10">
        <f t="shared" si="5"/>
        <v>0</v>
      </c>
      <c r="E46" s="10">
        <f t="shared" si="6"/>
        <v>0</v>
      </c>
      <c r="F46" s="9">
        <v>50</v>
      </c>
      <c r="G46" s="10" t="str">
        <f t="shared" si="7"/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 t="shared" si="4"/>
        <v>0</v>
      </c>
      <c r="D47" s="10">
        <f t="shared" si="5"/>
        <v>0</v>
      </c>
      <c r="E47" s="10">
        <f t="shared" si="6"/>
        <v>0</v>
      </c>
      <c r="F47" s="9">
        <v>50</v>
      </c>
      <c r="G47" s="10" t="str">
        <f t="shared" si="7"/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</sheetData>
  <mergeCells count="38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$1:G$1048576">
    <cfRule type="containsText" dxfId="0" priority="1" operator="between" text="库存不足">
      <formula>NOT(ISERROR(SEARCH("库存不足",G1)))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1.875" style="18" customWidth="1"/>
    <col min="2" max="2" width="11.125" style="18"/>
    <col min="3" max="7" width="9" style="18"/>
    <col min="8" max="69" width="4.625" style="19" customWidth="1"/>
    <col min="70" max="16384" width="9" style="18"/>
  </cols>
  <sheetData>
    <row r="1" s="4" customFormat="1" ht="27" customHeight="1" spans="1:69">
      <c r="A1" s="20" t="s">
        <v>41</v>
      </c>
      <c r="B1" s="20"/>
      <c r="C1" s="20"/>
      <c r="D1" s="20"/>
      <c r="E1" s="20"/>
      <c r="F1" s="20"/>
      <c r="G1" s="20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9"/>
      <c r="I17" s="9"/>
      <c r="J17" s="9"/>
      <c r="K17" s="9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>
        <f>SUMIF($3:$3,"入库",18:18)</f>
        <v>0</v>
      </c>
      <c r="D18" s="10">
        <f>SUMIF($3:$3,"出库",18:18)</f>
        <v>0</v>
      </c>
      <c r="E18" s="10">
        <f>B18+C18-D18</f>
        <v>0</v>
      </c>
      <c r="F18" s="9">
        <v>50</v>
      </c>
      <c r="G18" s="10" t="str">
        <f>IF(E18&lt;F18,"库存不足","库存充足")</f>
        <v>库存不足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>
        <f>SUMIF($3:$3,"入库",19:19)</f>
        <v>0</v>
      </c>
      <c r="D19" s="10">
        <f>SUMIF($3:$3,"出库",19:19)</f>
        <v>0</v>
      </c>
      <c r="E19" s="10">
        <f>B19+C19-D19</f>
        <v>0</v>
      </c>
      <c r="F19" s="9">
        <v>50</v>
      </c>
      <c r="G19" s="10" t="str">
        <f>IF(E19&lt;F19,"库存不足","库存充足")</f>
        <v>库存不足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>
        <f>SUMIF($3:$3,"入库",20:20)</f>
        <v>0</v>
      </c>
      <c r="D20" s="10">
        <f>SUMIF($3:$3,"出库",20:20)</f>
        <v>0</v>
      </c>
      <c r="E20" s="10">
        <f>B20+C20-D20</f>
        <v>0</v>
      </c>
      <c r="F20" s="9">
        <v>50</v>
      </c>
      <c r="G20" s="10" t="str">
        <f>IF(E20&lt;F20,"库存不足","库存充足")</f>
        <v>库存不足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>
        <f t="shared" ref="C21:C28" si="0">SUMIF($3:$3,"入库",21:21)</f>
        <v>0</v>
      </c>
      <c r="D21" s="10">
        <f t="shared" ref="D21:D28" si="1">SUMIF($3:$3,"出库",21:21)</f>
        <v>0</v>
      </c>
      <c r="E21" s="10">
        <f t="shared" ref="E21:E28" si="2">B21+C21-D21</f>
        <v>0</v>
      </c>
      <c r="F21" s="9">
        <v>50</v>
      </c>
      <c r="G21" s="10" t="str">
        <f t="shared" ref="G21:G28" si="3">IF(E21&lt;F21,"库存不足","库存充足")</f>
        <v>库存不足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>
        <f t="shared" si="0"/>
        <v>0</v>
      </c>
      <c r="D23" s="10">
        <f t="shared" si="1"/>
        <v>0</v>
      </c>
      <c r="E23" s="10">
        <f t="shared" si="2"/>
        <v>0</v>
      </c>
      <c r="F23" s="9">
        <v>50</v>
      </c>
      <c r="G23" s="10" t="str">
        <f t="shared" si="3"/>
        <v>库存不足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>
        <f t="shared" si="0"/>
        <v>0</v>
      </c>
      <c r="D24" s="10">
        <f t="shared" si="1"/>
        <v>0</v>
      </c>
      <c r="E24" s="10">
        <f t="shared" si="2"/>
        <v>0</v>
      </c>
      <c r="F24" s="9">
        <v>50</v>
      </c>
      <c r="G24" s="10" t="str">
        <f t="shared" si="3"/>
        <v>库存不足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>
        <f t="shared" si="0"/>
        <v>0</v>
      </c>
      <c r="D25" s="10">
        <f t="shared" si="1"/>
        <v>0</v>
      </c>
      <c r="E25" s="10">
        <f t="shared" si="2"/>
        <v>0</v>
      </c>
      <c r="F25" s="9">
        <v>50</v>
      </c>
      <c r="G25" s="10" t="str">
        <f t="shared" si="3"/>
        <v>库存不足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>
        <f t="shared" si="0"/>
        <v>0</v>
      </c>
      <c r="D26" s="10">
        <f t="shared" si="1"/>
        <v>0</v>
      </c>
      <c r="E26" s="10">
        <f t="shared" si="2"/>
        <v>0</v>
      </c>
      <c r="F26" s="9">
        <v>50</v>
      </c>
      <c r="G26" s="10" t="str">
        <f t="shared" si="3"/>
        <v>库存不足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>
        <f t="shared" si="0"/>
        <v>0</v>
      </c>
      <c r="D27" s="10">
        <f t="shared" si="1"/>
        <v>0</v>
      </c>
      <c r="E27" s="10">
        <f t="shared" si="2"/>
        <v>0</v>
      </c>
      <c r="F27" s="9">
        <v>50</v>
      </c>
      <c r="G27" s="10" t="str">
        <f t="shared" si="3"/>
        <v>库存不足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>
        <f t="shared" si="0"/>
        <v>0</v>
      </c>
      <c r="D28" s="10">
        <f t="shared" si="1"/>
        <v>0</v>
      </c>
      <c r="E28" s="10">
        <f t="shared" si="2"/>
        <v>0</v>
      </c>
      <c r="F28" s="9">
        <v>50</v>
      </c>
      <c r="G28" s="10" t="str">
        <f t="shared" si="3"/>
        <v>库存不足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9"/>
      <c r="D29" s="9"/>
      <c r="E29" s="9"/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9"/>
      <c r="D30" s="9"/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9"/>
      <c r="D31" s="9"/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9"/>
      <c r="D32" s="9"/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9"/>
      <c r="D33" s="9"/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9"/>
      <c r="D34" s="9"/>
      <c r="E34" s="9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9"/>
      <c r="D35" s="9"/>
      <c r="E35" s="9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9"/>
      <c r="D36" s="9"/>
      <c r="E36" s="9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9"/>
      <c r="D37" s="9"/>
      <c r="E37" s="9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9"/>
      <c r="D38" s="9"/>
      <c r="E38" s="9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9"/>
      <c r="D39" s="9"/>
      <c r="E39" s="9"/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9"/>
      <c r="D40" s="9"/>
      <c r="E40" s="9"/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9"/>
      <c r="D41" s="9"/>
      <c r="E41" s="9"/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9"/>
      <c r="D42" s="9"/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9"/>
      <c r="D43" s="9"/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9"/>
      <c r="D44" s="9"/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9"/>
      <c r="D45" s="9"/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9"/>
      <c r="D46" s="9"/>
      <c r="E46" s="9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</sheetData>
  <mergeCells count="38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$1:G$1048576">
    <cfRule type="containsText" dxfId="0" priority="1" operator="between" text="库存不足">
      <formula>NOT(ISERROR(SEARCH("库存不足",G1)))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3.5" customWidth="1"/>
    <col min="2" max="2" width="11.125"/>
    <col min="8" max="69" width="4.625" style="2" customWidth="1"/>
  </cols>
  <sheetData>
    <row r="1" s="1" customFormat="1" ht="27" customHeight="1" spans="1:69">
      <c r="A1" s="3" t="s">
        <v>42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18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/>
      <c r="C18" s="10">
        <f t="shared" ref="C18:C23" si="0">SUMIF($3:$3,"入库",18:18)</f>
        <v>0</v>
      </c>
      <c r="D18" s="10">
        <f t="shared" ref="D18:D23" si="1">SUMIF($3:$3,"出库",18:18)</f>
        <v>0</v>
      </c>
      <c r="E18" s="10">
        <f t="shared" ref="E18:E23" si="2">B18+C18-D18</f>
        <v>0</v>
      </c>
      <c r="F18" s="9">
        <v>50</v>
      </c>
      <c r="G18" s="10" t="str">
        <f t="shared" ref="G18:G23" si="3">IF(E18&lt;F18,"库存不足","库存充足")</f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7"/>
      <c r="B23" s="17"/>
      <c r="C23" s="10">
        <f t="shared" si="0"/>
        <v>0</v>
      </c>
      <c r="D23" s="10">
        <f t="shared" si="1"/>
        <v>0</v>
      </c>
      <c r="E23" s="10">
        <f t="shared" si="2"/>
        <v>0</v>
      </c>
      <c r="F23" s="9">
        <v>50</v>
      </c>
      <c r="G23" s="10" t="str">
        <f t="shared" si="3"/>
        <v>库存不足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 spans="1:69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 spans="1:69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 spans="1:69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 spans="1:6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 spans="1:69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</row>
    <row r="41" spans="1:69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</row>
    <row r="42" spans="1:69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 spans="1:69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 spans="1:69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 spans="1:69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 spans="1:69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 spans="1:69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4" style="14" customWidth="1"/>
    <col min="2" max="2" width="11.125" style="14"/>
    <col min="3" max="7" width="9" style="14"/>
    <col min="8" max="69" width="4.625" style="15" customWidth="1"/>
    <col min="70" max="16384" width="9" style="14"/>
  </cols>
  <sheetData>
    <row r="1" s="4" customFormat="1" ht="27" customHeight="1" spans="1:69">
      <c r="A1" s="3" t="s">
        <v>43</v>
      </c>
      <c r="B1" s="3"/>
      <c r="C1" s="3"/>
      <c r="D1" s="3"/>
      <c r="E1" s="3"/>
      <c r="F1" s="3"/>
      <c r="G1" s="3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>
        <v>0</v>
      </c>
      <c r="C18" s="10">
        <f>SUMIF($3:$3,"入库",18:18)</f>
        <v>0</v>
      </c>
      <c r="D18" s="10">
        <f>SUMIF($3:$3,"出库",18:18)</f>
        <v>0</v>
      </c>
      <c r="E18" s="10">
        <f>B18+C18-D18</f>
        <v>0</v>
      </c>
      <c r="F18" s="9">
        <v>50</v>
      </c>
      <c r="G18" s="10" t="str">
        <f>IF(E18&lt;F18,"库存不足","库存充足")</f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>
        <v>0</v>
      </c>
      <c r="C19" s="10">
        <f>SUMIF($3:$3,"入库",19:19)</f>
        <v>0</v>
      </c>
      <c r="D19" s="10">
        <f>SUMIF($3:$3,"出库",19:19)</f>
        <v>0</v>
      </c>
      <c r="E19" s="10">
        <f>B19+C19-D19</f>
        <v>0</v>
      </c>
      <c r="F19" s="9">
        <v>50</v>
      </c>
      <c r="G19" s="10" t="str">
        <f>IF(E19&lt;F19,"库存不足","库存充足")</f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>
        <v>0</v>
      </c>
      <c r="C20" s="10">
        <f>SUMIF($3:$3,"入库",20:20)</f>
        <v>0</v>
      </c>
      <c r="D20" s="10">
        <f>SUMIF($3:$3,"出库",20:20)</f>
        <v>0</v>
      </c>
      <c r="E20" s="10">
        <f>B20+C20-D20</f>
        <v>0</v>
      </c>
      <c r="F20" s="9">
        <v>50</v>
      </c>
      <c r="G20" s="10" t="str">
        <f>IF(E20&lt;F20,"库存不足","库存充足")</f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>
        <v>0</v>
      </c>
      <c r="C21" s="10">
        <f>SUMIF($3:$3,"入库",21:21)</f>
        <v>0</v>
      </c>
      <c r="D21" s="10">
        <f>SUMIF($3:$3,"出库",21:21)</f>
        <v>0</v>
      </c>
      <c r="E21" s="10">
        <f>B21+C21-D21</f>
        <v>0</v>
      </c>
      <c r="F21" s="9">
        <v>50</v>
      </c>
      <c r="G21" s="10" t="str">
        <f>IF(E21&lt;F21,"库存不足","库存充足")</f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>
        <v>0</v>
      </c>
      <c r="C22" s="10">
        <f>SUMIF($3:$3,"入库",22:22)</f>
        <v>0</v>
      </c>
      <c r="D22" s="10">
        <f>SUMIF($3:$3,"出库",22:22)</f>
        <v>0</v>
      </c>
      <c r="E22" s="10">
        <f>B22+C22-D22</f>
        <v>0</v>
      </c>
      <c r="F22" s="9">
        <v>50</v>
      </c>
      <c r="G22" s="10" t="str">
        <f>IF(E22&lt;F22,"库存不足","库存充足")</f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7"/>
      <c r="B23" s="17">
        <v>0</v>
      </c>
      <c r="C23" s="17"/>
      <c r="D23" s="17"/>
      <c r="E23" s="17"/>
      <c r="F23" s="17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>
      <c r="A24" s="17"/>
      <c r="B24" s="17"/>
      <c r="C24" s="17"/>
      <c r="D24" s="17"/>
      <c r="E24" s="17"/>
      <c r="F24" s="17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1:69">
      <c r="A25" s="17"/>
      <c r="B25" s="17"/>
      <c r="C25" s="17"/>
      <c r="D25" s="17"/>
      <c r="E25" s="17"/>
      <c r="F25" s="17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1:69">
      <c r="A26" s="17"/>
      <c r="B26" s="17"/>
      <c r="C26" s="17"/>
      <c r="D26" s="17"/>
      <c r="E26" s="17"/>
      <c r="F26" s="17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>
      <c r="A27" s="17"/>
      <c r="B27" s="17"/>
      <c r="C27" s="17"/>
      <c r="D27" s="17"/>
      <c r="E27" s="17"/>
      <c r="F27" s="17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>
      <c r="A28" s="17"/>
      <c r="B28" s="17"/>
      <c r="C28" s="17"/>
      <c r="D28" s="17"/>
      <c r="E28" s="17"/>
      <c r="F28" s="1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1:69">
      <c r="A29" s="17"/>
      <c r="B29" s="17"/>
      <c r="C29" s="17"/>
      <c r="D29" s="17"/>
      <c r="E29" s="17"/>
      <c r="F29" s="17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>
      <c r="A30" s="17"/>
      <c r="B30" s="17"/>
      <c r="C30" s="17"/>
      <c r="D30" s="17"/>
      <c r="E30" s="17"/>
      <c r="F30" s="17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1:69">
      <c r="A31" s="17"/>
      <c r="B31" s="17"/>
      <c r="C31" s="17"/>
      <c r="D31" s="17"/>
      <c r="E31" s="17"/>
      <c r="F31" s="17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1:69">
      <c r="A32" s="17"/>
      <c r="B32" s="17"/>
      <c r="C32" s="17"/>
      <c r="D32" s="17"/>
      <c r="E32" s="17"/>
      <c r="F32" s="1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1:69">
      <c r="A33" s="17"/>
      <c r="B33" s="17"/>
      <c r="C33" s="17"/>
      <c r="D33" s="17"/>
      <c r="E33" s="17"/>
      <c r="F33" s="17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>
      <c r="A34" s="17"/>
      <c r="B34" s="17"/>
      <c r="C34" s="17"/>
      <c r="D34" s="17"/>
      <c r="E34" s="17"/>
      <c r="F34" s="17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1:69">
      <c r="A35" s="17"/>
      <c r="B35" s="17"/>
      <c r="C35" s="17"/>
      <c r="D35" s="17"/>
      <c r="E35" s="17"/>
      <c r="F35" s="17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1:69">
      <c r="A36" s="17"/>
      <c r="B36" s="17"/>
      <c r="C36" s="17"/>
      <c r="D36" s="17"/>
      <c r="E36" s="17"/>
      <c r="F36" s="17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1:69">
      <c r="A37" s="17"/>
      <c r="B37" s="17"/>
      <c r="C37" s="17"/>
      <c r="D37" s="17"/>
      <c r="E37" s="17"/>
      <c r="F37" s="1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1:69">
      <c r="A38" s="17"/>
      <c r="B38" s="17"/>
      <c r="C38" s="17"/>
      <c r="D38" s="17"/>
      <c r="E38" s="17"/>
      <c r="F38" s="1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1:69">
      <c r="A39" s="17"/>
      <c r="B39" s="17"/>
      <c r="C39" s="17"/>
      <c r="D39" s="17"/>
      <c r="E39" s="17"/>
      <c r="F39" s="1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1:69">
      <c r="A40" s="17"/>
      <c r="B40" s="17"/>
      <c r="C40" s="17"/>
      <c r="D40" s="17"/>
      <c r="E40" s="17"/>
      <c r="F40" s="1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1:69">
      <c r="A41" s="17"/>
      <c r="B41" s="17"/>
      <c r="C41" s="17"/>
      <c r="D41" s="17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1:69">
      <c r="A42" s="17"/>
      <c r="B42" s="17"/>
      <c r="C42" s="17"/>
      <c r="D42" s="17"/>
      <c r="E42" s="17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1:69">
      <c r="A43" s="17"/>
      <c r="B43" s="17"/>
      <c r="C43" s="17"/>
      <c r="D43" s="17"/>
      <c r="E43" s="17"/>
      <c r="F43" s="17"/>
      <c r="G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1:69">
      <c r="A44" s="17"/>
      <c r="B44" s="17"/>
      <c r="C44" s="17"/>
      <c r="D44" s="17"/>
      <c r="E44" s="17"/>
      <c r="F44" s="17"/>
      <c r="G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1:69">
      <c r="A45" s="17"/>
      <c r="B45" s="17"/>
      <c r="C45" s="17"/>
      <c r="D45" s="17"/>
      <c r="E45" s="17"/>
      <c r="F45" s="1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1:69">
      <c r="A46" s="17"/>
      <c r="B46" s="17"/>
      <c r="C46" s="17"/>
      <c r="D46" s="17"/>
      <c r="E46" s="17"/>
      <c r="F46" s="17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1:69">
      <c r="A47" s="17"/>
      <c r="B47" s="17"/>
      <c r="C47" s="17"/>
      <c r="D47" s="17"/>
      <c r="E47" s="17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1.5" style="18" customWidth="1"/>
    <col min="2" max="2" width="11.125" style="18"/>
    <col min="3" max="7" width="9" style="18"/>
    <col min="8" max="69" width="4.625" style="19" customWidth="1"/>
  </cols>
  <sheetData>
    <row r="1" s="1" customFormat="1" ht="27" customHeight="1" spans="1:69">
      <c r="A1" s="3" t="s">
        <v>44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>
        <v>0</v>
      </c>
      <c r="C18" s="10">
        <f t="shared" ref="C18:C23" si="0">SUMIF($3:$3,"入库",18:18)</f>
        <v>0</v>
      </c>
      <c r="D18" s="10">
        <f t="shared" ref="D18:D23" si="1">SUMIF($3:$3,"出库",18:18)</f>
        <v>0</v>
      </c>
      <c r="E18" s="10">
        <f t="shared" ref="E18:E23" si="2">B18+C18-D18</f>
        <v>0</v>
      </c>
      <c r="F18" s="9">
        <v>50</v>
      </c>
      <c r="G18" s="10" t="str">
        <f t="shared" ref="G18:G23" si="3">IF(E18&lt;F18,"库存不足","库存充足")</f>
        <v>库存不足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>
        <v>0</v>
      </c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>
        <v>0</v>
      </c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>
        <v>0</v>
      </c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>
        <v>0</v>
      </c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>
        <f t="shared" si="0"/>
        <v>0</v>
      </c>
      <c r="D23" s="10">
        <f t="shared" si="1"/>
        <v>0</v>
      </c>
      <c r="E23" s="10">
        <f t="shared" si="2"/>
        <v>0</v>
      </c>
      <c r="F23" s="9">
        <v>50</v>
      </c>
      <c r="G23" s="10" t="str">
        <f t="shared" si="3"/>
        <v>库存不足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9"/>
      <c r="D24" s="9"/>
      <c r="E24" s="9"/>
      <c r="F24" s="9"/>
      <c r="G24" s="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9"/>
      <c r="D25" s="9"/>
      <c r="E25" s="9"/>
      <c r="F25" s="9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9"/>
      <c r="D26" s="9"/>
      <c r="E26" s="9"/>
      <c r="F26" s="9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9"/>
      <c r="D27" s="9"/>
      <c r="E27" s="9"/>
      <c r="F27" s="9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9"/>
      <c r="D28" s="9"/>
      <c r="E28" s="9"/>
      <c r="F28" s="9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9"/>
      <c r="D29" s="9"/>
      <c r="E29" s="9"/>
      <c r="F29" s="9"/>
      <c r="G29" s="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9"/>
      <c r="D30" s="9"/>
      <c r="E30" s="9"/>
      <c r="F30" s="9"/>
      <c r="G30" s="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9"/>
      <c r="D31" s="9"/>
      <c r="E31" s="9"/>
      <c r="F31" s="9"/>
      <c r="G31" s="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9"/>
      <c r="D32" s="9"/>
      <c r="E32" s="9"/>
      <c r="F32" s="9"/>
      <c r="G32" s="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9"/>
      <c r="D33" s="9"/>
      <c r="E33" s="9"/>
      <c r="F33" s="9"/>
      <c r="G33" s="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9"/>
      <c r="D34" s="9"/>
      <c r="E34" s="9"/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9"/>
      <c r="D35" s="9"/>
      <c r="E35" s="9"/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9"/>
      <c r="D36" s="9"/>
      <c r="E36" s="9"/>
      <c r="F36" s="9"/>
      <c r="G36" s="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9"/>
      <c r="D37" s="9"/>
      <c r="E37" s="9"/>
      <c r="F37" s="9"/>
      <c r="G37" s="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9"/>
      <c r="D38" s="9"/>
      <c r="E38" s="9"/>
      <c r="F38" s="9"/>
      <c r="G38" s="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9"/>
      <c r="D39" s="9"/>
      <c r="E39" s="9"/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9"/>
      <c r="D40" s="9"/>
      <c r="E40" s="9"/>
      <c r="F40" s="9"/>
      <c r="G40" s="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9"/>
      <c r="D41" s="9"/>
      <c r="E41" s="9"/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9"/>
      <c r="D42" s="9"/>
      <c r="E42" s="9"/>
      <c r="F42" s="9"/>
      <c r="G42" s="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9"/>
      <c r="D43" s="9"/>
      <c r="E43" s="9"/>
      <c r="F43" s="9"/>
      <c r="G43" s="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9"/>
      <c r="D44" s="9"/>
      <c r="E44" s="9"/>
      <c r="F44" s="9"/>
      <c r="G44" s="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9"/>
      <c r="D45" s="9"/>
      <c r="E45" s="9"/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9"/>
      <c r="D46" s="9"/>
      <c r="E46" s="9"/>
      <c r="F46" s="9"/>
      <c r="G46" s="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V2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2.75" customWidth="1"/>
    <col min="2" max="2" width="11.125"/>
    <col min="8" max="69" width="4.625" style="2" customWidth="1"/>
  </cols>
  <sheetData>
    <row r="1" s="1" customFormat="1" ht="27" customHeight="1" spans="1:69">
      <c r="A1" s="3" t="s">
        <v>45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>
        <v>0</v>
      </c>
      <c r="C18" s="10">
        <f>SUMIF($3:$3,"入库",18:18)</f>
        <v>0</v>
      </c>
      <c r="D18" s="10">
        <f>SUMIF($3:$3,"出库",18:18)</f>
        <v>0</v>
      </c>
      <c r="E18" s="10">
        <f>B18+C18-D18</f>
        <v>0</v>
      </c>
      <c r="F18" s="9">
        <v>50</v>
      </c>
      <c r="G18" s="10" t="str">
        <f>IF(E18&lt;F18,"库存不足","库存充足")</f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>
        <v>0</v>
      </c>
      <c r="C19" s="10">
        <f>SUMIF($3:$3,"入库",19:19)</f>
        <v>0</v>
      </c>
      <c r="D19" s="10">
        <f>SUMIF($3:$3,"出库",19:19)</f>
        <v>0</v>
      </c>
      <c r="E19" s="10">
        <f>B19+C19-D19</f>
        <v>0</v>
      </c>
      <c r="F19" s="9">
        <v>50</v>
      </c>
      <c r="G19" s="10" t="str">
        <f>IF(E19&lt;F19,"库存不足","库存充足")</f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>
        <v>0</v>
      </c>
      <c r="C20" s="10">
        <f>SUMIF($3:$3,"入库",20:20)</f>
        <v>0</v>
      </c>
      <c r="D20" s="10">
        <f>SUMIF($3:$3,"出库",20:20)</f>
        <v>0</v>
      </c>
      <c r="E20" s="10">
        <f>B20+C20-D20</f>
        <v>0</v>
      </c>
      <c r="F20" s="9">
        <v>50</v>
      </c>
      <c r="G20" s="10" t="str">
        <f>IF(E20&lt;F20,"库存不足","库存充足")</f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>
        <v>0</v>
      </c>
      <c r="C21" s="10">
        <f>SUMIF($3:$3,"入库",21:21)</f>
        <v>0</v>
      </c>
      <c r="D21" s="10">
        <f>SUMIF($3:$3,"出库",21:21)</f>
        <v>0</v>
      </c>
      <c r="E21" s="10">
        <f>B21+C21-D21</f>
        <v>0</v>
      </c>
      <c r="F21" s="9">
        <v>50</v>
      </c>
      <c r="G21" s="10" t="str">
        <f>IF(E21&lt;F21,"库存不足","库存充足")</f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>
        <v>0</v>
      </c>
      <c r="C22" s="10">
        <f>SUMIF($3:$3,"入库",22:22)</f>
        <v>0</v>
      </c>
      <c r="D22" s="10">
        <f>SUMIF($3:$3,"出库",22:22)</f>
        <v>0</v>
      </c>
      <c r="E22" s="10">
        <f>B22+C22-D22</f>
        <v>0</v>
      </c>
      <c r="F22" s="9">
        <v>50</v>
      </c>
      <c r="G22" s="10" t="str">
        <f>IF(E22&lt;F22,"库存不足","库存充足")</f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2"/>
      <c r="B23" s="12">
        <v>0</v>
      </c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</row>
    <row r="24" spans="1:69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 spans="1:69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 spans="1:69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 spans="1:69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 spans="1:6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 spans="1:69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</row>
    <row r="41" spans="1:69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</row>
    <row r="42" spans="1:69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 spans="1:69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 spans="1:69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 spans="1:69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 spans="1:69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 spans="1:69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A4" sqref="$A4:$XFD22"/>
    </sheetView>
  </sheetViews>
  <sheetFormatPr defaultColWidth="9" defaultRowHeight="14"/>
  <cols>
    <col min="1" max="1" width="22.875" style="14" customWidth="1"/>
    <col min="2" max="2" width="11.125" style="14"/>
    <col min="3" max="7" width="9" style="14"/>
    <col min="8" max="69" width="4.625" style="15" customWidth="1"/>
    <col min="70" max="16384" width="9" style="14"/>
  </cols>
  <sheetData>
    <row r="1" s="4" customFormat="1" ht="27" customHeight="1" spans="1:69">
      <c r="A1" s="3" t="s">
        <v>46</v>
      </c>
      <c r="B1" s="3"/>
      <c r="C1" s="3"/>
      <c r="D1" s="3"/>
      <c r="E1" s="3"/>
      <c r="F1" s="3"/>
      <c r="G1" s="3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/>
      <c r="C18" s="10"/>
      <c r="D18" s="10"/>
      <c r="E18" s="10"/>
      <c r="F18" s="9"/>
      <c r="G18" s="1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/>
      <c r="C19" s="10"/>
      <c r="D19" s="10"/>
      <c r="E19" s="10"/>
      <c r="F19" s="9"/>
      <c r="G19" s="1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/>
      <c r="C20" s="10"/>
      <c r="D20" s="10"/>
      <c r="E20" s="10"/>
      <c r="F20" s="9"/>
      <c r="G20" s="1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/>
      <c r="C21" s="10"/>
      <c r="D21" s="10"/>
      <c r="E21" s="10"/>
      <c r="F21" s="9"/>
      <c r="G21" s="10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/>
      <c r="C22" s="10"/>
      <c r="D22" s="10"/>
      <c r="E22" s="10"/>
      <c r="F22" s="9"/>
      <c r="G22" s="10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7"/>
      <c r="B23" s="17"/>
      <c r="C23" s="17"/>
      <c r="D23" s="17"/>
      <c r="E23" s="17"/>
      <c r="F23" s="17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>
      <c r="A24" s="17"/>
      <c r="B24" s="17"/>
      <c r="C24" s="17"/>
      <c r="D24" s="17"/>
      <c r="E24" s="17"/>
      <c r="F24" s="17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1:69">
      <c r="A25" s="17"/>
      <c r="B25" s="17"/>
      <c r="C25" s="17"/>
      <c r="D25" s="17"/>
      <c r="E25" s="17"/>
      <c r="F25" s="17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1:69">
      <c r="A26" s="17"/>
      <c r="B26" s="17"/>
      <c r="C26" s="17"/>
      <c r="D26" s="17"/>
      <c r="E26" s="17"/>
      <c r="F26" s="17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>
      <c r="A27" s="17"/>
      <c r="B27" s="17"/>
      <c r="C27" s="17"/>
      <c r="D27" s="17"/>
      <c r="E27" s="17"/>
      <c r="F27" s="17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>
      <c r="A28" s="17"/>
      <c r="B28" s="17"/>
      <c r="C28" s="17"/>
      <c r="D28" s="17"/>
      <c r="E28" s="17"/>
      <c r="F28" s="1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1:69">
      <c r="A29" s="17"/>
      <c r="B29" s="17"/>
      <c r="C29" s="17"/>
      <c r="D29" s="17"/>
      <c r="E29" s="17"/>
      <c r="F29" s="17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>
      <c r="A30" s="17"/>
      <c r="B30" s="17"/>
      <c r="C30" s="17"/>
      <c r="D30" s="17"/>
      <c r="E30" s="17"/>
      <c r="F30" s="17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1:69">
      <c r="A31" s="17"/>
      <c r="B31" s="17"/>
      <c r="C31" s="17"/>
      <c r="D31" s="17"/>
      <c r="E31" s="17"/>
      <c r="F31" s="17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1:69">
      <c r="A32" s="17"/>
      <c r="B32" s="17"/>
      <c r="C32" s="17"/>
      <c r="D32" s="17"/>
      <c r="E32" s="17"/>
      <c r="F32" s="1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1:69">
      <c r="A33" s="17"/>
      <c r="B33" s="17"/>
      <c r="C33" s="17"/>
      <c r="D33" s="17"/>
      <c r="E33" s="17"/>
      <c r="F33" s="17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>
      <c r="A34" s="17"/>
      <c r="B34" s="17"/>
      <c r="C34" s="17"/>
      <c r="D34" s="17"/>
      <c r="E34" s="17"/>
      <c r="F34" s="17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1:69">
      <c r="A35" s="17"/>
      <c r="B35" s="17"/>
      <c r="C35" s="17"/>
      <c r="D35" s="17"/>
      <c r="E35" s="17"/>
      <c r="F35" s="17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1:69">
      <c r="A36" s="17"/>
      <c r="B36" s="17"/>
      <c r="C36" s="17"/>
      <c r="D36" s="17"/>
      <c r="E36" s="17"/>
      <c r="F36" s="17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1:69">
      <c r="A37" s="17"/>
      <c r="B37" s="17"/>
      <c r="C37" s="17"/>
      <c r="D37" s="17"/>
      <c r="E37" s="17"/>
      <c r="F37" s="1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1:69">
      <c r="A38" s="17"/>
      <c r="B38" s="17"/>
      <c r="C38" s="17"/>
      <c r="D38" s="17"/>
      <c r="E38" s="17"/>
      <c r="F38" s="1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1:69">
      <c r="A39" s="17"/>
      <c r="B39" s="17"/>
      <c r="C39" s="17"/>
      <c r="D39" s="17"/>
      <c r="E39" s="17"/>
      <c r="F39" s="1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1:69">
      <c r="A40" s="17"/>
      <c r="B40" s="17"/>
      <c r="C40" s="17"/>
      <c r="D40" s="17"/>
      <c r="E40" s="17"/>
      <c r="F40" s="1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1:69">
      <c r="A41" s="17"/>
      <c r="B41" s="17"/>
      <c r="C41" s="17"/>
      <c r="D41" s="17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1:69">
      <c r="A42" s="17"/>
      <c r="B42" s="17"/>
      <c r="C42" s="17"/>
      <c r="D42" s="17"/>
      <c r="E42" s="17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1:69">
      <c r="A43" s="17"/>
      <c r="B43" s="17"/>
      <c r="C43" s="17"/>
      <c r="D43" s="17"/>
      <c r="E43" s="17"/>
      <c r="F43" s="17"/>
      <c r="G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1:69">
      <c r="A44" s="17"/>
      <c r="B44" s="17"/>
      <c r="C44" s="17"/>
      <c r="D44" s="17"/>
      <c r="E44" s="17"/>
      <c r="F44" s="17"/>
      <c r="G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1:69">
      <c r="A45" s="17"/>
      <c r="B45" s="17"/>
      <c r="C45" s="17"/>
      <c r="D45" s="17"/>
      <c r="E45" s="17"/>
      <c r="F45" s="1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1:69">
      <c r="A46" s="17"/>
      <c r="B46" s="17"/>
      <c r="C46" s="17"/>
      <c r="D46" s="17"/>
      <c r="E46" s="17"/>
      <c r="F46" s="17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1:69">
      <c r="A47" s="17"/>
      <c r="B47" s="17"/>
      <c r="C47" s="17"/>
      <c r="D47" s="17"/>
      <c r="E47" s="17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C4" sqref="C4"/>
    </sheetView>
  </sheetViews>
  <sheetFormatPr defaultColWidth="9" defaultRowHeight="14"/>
  <cols>
    <col min="1" max="1" width="23" style="14" customWidth="1"/>
    <col min="2" max="2" width="11.125" style="14"/>
    <col min="3" max="7" width="9" style="14"/>
    <col min="8" max="69" width="4.625" style="15" customWidth="1"/>
  </cols>
  <sheetData>
    <row r="1" s="1" customFormat="1" ht="27" customHeight="1" spans="1:69">
      <c r="A1" s="3" t="s">
        <v>47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 t="s">
        <v>48</v>
      </c>
      <c r="B4" s="9"/>
      <c r="C4" s="10">
        <f t="shared" ref="C4:C22" si="0">SUMIF($3:$3,"入库",4:4)</f>
        <v>0</v>
      </c>
      <c r="D4" s="10">
        <f t="shared" ref="D4:D22" si="1">SUMIF($3:$3,"出库",4:4)</f>
        <v>0</v>
      </c>
      <c r="E4" s="10">
        <f t="shared" ref="E4:E22" si="2">B4+C4-D4</f>
        <v>0</v>
      </c>
      <c r="F4" s="9">
        <v>50</v>
      </c>
      <c r="G4" s="10" t="str">
        <f t="shared" ref="G4:G22" si="3">IF(E4&lt;F4,"库存不足","库存充足")</f>
        <v>库存不足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 t="s">
        <v>49</v>
      </c>
      <c r="B5" s="9"/>
      <c r="C5" s="10">
        <f t="shared" si="0"/>
        <v>0</v>
      </c>
      <c r="D5" s="10">
        <f t="shared" si="1"/>
        <v>0</v>
      </c>
      <c r="E5" s="10">
        <f t="shared" si="2"/>
        <v>0</v>
      </c>
      <c r="F5" s="9">
        <v>50</v>
      </c>
      <c r="G5" s="10" t="str">
        <f t="shared" si="3"/>
        <v>库存不足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 t="s">
        <v>50</v>
      </c>
      <c r="B6" s="9"/>
      <c r="C6" s="10">
        <f t="shared" si="0"/>
        <v>0</v>
      </c>
      <c r="D6" s="10">
        <f t="shared" si="1"/>
        <v>0</v>
      </c>
      <c r="E6" s="10">
        <f t="shared" si="2"/>
        <v>0</v>
      </c>
      <c r="F6" s="9">
        <v>50</v>
      </c>
      <c r="G6" s="10" t="str">
        <f t="shared" si="3"/>
        <v>库存不足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 t="s">
        <v>51</v>
      </c>
      <c r="B7" s="9"/>
      <c r="C7" s="10">
        <f t="shared" si="0"/>
        <v>0</v>
      </c>
      <c r="D7" s="10">
        <f t="shared" si="1"/>
        <v>0</v>
      </c>
      <c r="E7" s="10">
        <f t="shared" si="2"/>
        <v>0</v>
      </c>
      <c r="F7" s="9">
        <v>50</v>
      </c>
      <c r="G7" s="10" t="str">
        <f t="shared" si="3"/>
        <v>库存不足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 t="s">
        <v>52</v>
      </c>
      <c r="B8" s="9"/>
      <c r="C8" s="10">
        <f t="shared" si="0"/>
        <v>0</v>
      </c>
      <c r="D8" s="10">
        <f t="shared" si="1"/>
        <v>0</v>
      </c>
      <c r="E8" s="10">
        <f t="shared" si="2"/>
        <v>0</v>
      </c>
      <c r="F8" s="9">
        <v>50</v>
      </c>
      <c r="G8" s="10" t="str">
        <f t="shared" si="3"/>
        <v>库存不足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 t="s">
        <v>53</v>
      </c>
      <c r="B9" s="9"/>
      <c r="C9" s="10">
        <f t="shared" si="0"/>
        <v>0</v>
      </c>
      <c r="D9" s="10">
        <f t="shared" si="1"/>
        <v>0</v>
      </c>
      <c r="E9" s="10">
        <f t="shared" si="2"/>
        <v>0</v>
      </c>
      <c r="F9" s="9">
        <v>50</v>
      </c>
      <c r="G9" s="10" t="str">
        <f t="shared" si="3"/>
        <v>库存不足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 t="s">
        <v>54</v>
      </c>
      <c r="B10" s="9"/>
      <c r="C10" s="10">
        <f t="shared" si="0"/>
        <v>0</v>
      </c>
      <c r="D10" s="10">
        <f t="shared" si="1"/>
        <v>0</v>
      </c>
      <c r="E10" s="10">
        <f t="shared" si="2"/>
        <v>0</v>
      </c>
      <c r="F10" s="9">
        <v>50</v>
      </c>
      <c r="G10" s="10" t="str">
        <f t="shared" si="3"/>
        <v>库存不足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 t="s">
        <v>55</v>
      </c>
      <c r="B11" s="9"/>
      <c r="C11" s="10">
        <f t="shared" si="0"/>
        <v>0</v>
      </c>
      <c r="D11" s="10">
        <f t="shared" si="1"/>
        <v>0</v>
      </c>
      <c r="E11" s="10">
        <f t="shared" si="2"/>
        <v>0</v>
      </c>
      <c r="F11" s="9">
        <v>50</v>
      </c>
      <c r="G11" s="10" t="str">
        <f t="shared" si="3"/>
        <v>库存不足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 t="s">
        <v>56</v>
      </c>
      <c r="B12" s="9"/>
      <c r="C12" s="10">
        <f t="shared" si="0"/>
        <v>0</v>
      </c>
      <c r="D12" s="10">
        <f t="shared" si="1"/>
        <v>0</v>
      </c>
      <c r="E12" s="10">
        <f t="shared" si="2"/>
        <v>0</v>
      </c>
      <c r="F12" s="9">
        <v>50</v>
      </c>
      <c r="G12" s="10" t="str">
        <f t="shared" si="3"/>
        <v>库存不足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 t="s">
        <v>57</v>
      </c>
      <c r="B13" s="9"/>
      <c r="C13" s="10">
        <f t="shared" si="0"/>
        <v>0</v>
      </c>
      <c r="D13" s="10">
        <f t="shared" si="1"/>
        <v>0</v>
      </c>
      <c r="E13" s="10">
        <f t="shared" si="2"/>
        <v>0</v>
      </c>
      <c r="F13" s="9">
        <v>50</v>
      </c>
      <c r="G13" s="10" t="str">
        <f t="shared" si="3"/>
        <v>库存不足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 t="s">
        <v>58</v>
      </c>
      <c r="B14" s="9"/>
      <c r="C14" s="10">
        <f t="shared" si="0"/>
        <v>0</v>
      </c>
      <c r="D14" s="10">
        <f t="shared" si="1"/>
        <v>0</v>
      </c>
      <c r="E14" s="10">
        <f t="shared" si="2"/>
        <v>0</v>
      </c>
      <c r="F14" s="9">
        <v>50</v>
      </c>
      <c r="G14" s="10" t="str">
        <f t="shared" si="3"/>
        <v>库存不足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 t="s">
        <v>59</v>
      </c>
      <c r="B15" s="9"/>
      <c r="C15" s="10">
        <f t="shared" si="0"/>
        <v>0</v>
      </c>
      <c r="D15" s="10">
        <f t="shared" si="1"/>
        <v>0</v>
      </c>
      <c r="E15" s="10">
        <f t="shared" si="2"/>
        <v>0</v>
      </c>
      <c r="F15" s="9">
        <v>50</v>
      </c>
      <c r="G15" s="10" t="str">
        <f t="shared" si="3"/>
        <v>库存不足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 t="s">
        <v>60</v>
      </c>
      <c r="B16" s="9"/>
      <c r="C16" s="10">
        <f t="shared" si="0"/>
        <v>0</v>
      </c>
      <c r="D16" s="10">
        <f t="shared" si="1"/>
        <v>0</v>
      </c>
      <c r="E16" s="10">
        <f t="shared" si="2"/>
        <v>0</v>
      </c>
      <c r="F16" s="9">
        <v>50</v>
      </c>
      <c r="G16" s="10" t="str">
        <f t="shared" si="3"/>
        <v>库存不足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 t="s">
        <v>61</v>
      </c>
      <c r="B17" s="9"/>
      <c r="C17" s="10">
        <f t="shared" si="0"/>
        <v>0</v>
      </c>
      <c r="D17" s="10">
        <f t="shared" si="1"/>
        <v>0</v>
      </c>
      <c r="E17" s="10">
        <f t="shared" si="2"/>
        <v>0</v>
      </c>
      <c r="F17" s="9">
        <v>50</v>
      </c>
      <c r="G17" s="10" t="str">
        <f t="shared" si="3"/>
        <v>库存不足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/>
      <c r="C18" s="10">
        <f t="shared" si="0"/>
        <v>0</v>
      </c>
      <c r="D18" s="10">
        <f t="shared" si="1"/>
        <v>0</v>
      </c>
      <c r="E18" s="10">
        <f t="shared" si="2"/>
        <v>0</v>
      </c>
      <c r="F18" s="9">
        <v>50</v>
      </c>
      <c r="G18" s="10" t="str">
        <f t="shared" si="3"/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7"/>
      <c r="B23" s="17"/>
      <c r="C23" s="17"/>
      <c r="D23" s="17"/>
      <c r="E23" s="17"/>
      <c r="F23" s="17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>
      <c r="A24" s="17"/>
      <c r="B24" s="17"/>
      <c r="C24" s="17"/>
      <c r="D24" s="17"/>
      <c r="E24" s="17"/>
      <c r="F24" s="17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1:69">
      <c r="A25" s="17"/>
      <c r="B25" s="17"/>
      <c r="C25" s="17"/>
      <c r="D25" s="17"/>
      <c r="E25" s="17"/>
      <c r="F25" s="17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1:69">
      <c r="A26" s="17"/>
      <c r="B26" s="17"/>
      <c r="C26" s="17"/>
      <c r="D26" s="17"/>
      <c r="E26" s="17"/>
      <c r="F26" s="17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>
      <c r="A27" s="17"/>
      <c r="B27" s="17"/>
      <c r="C27" s="17"/>
      <c r="D27" s="17"/>
      <c r="E27" s="17"/>
      <c r="F27" s="17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>
      <c r="A28" s="17"/>
      <c r="B28" s="17"/>
      <c r="C28" s="17"/>
      <c r="D28" s="17"/>
      <c r="E28" s="17"/>
      <c r="F28" s="1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1:69">
      <c r="A29" s="17"/>
      <c r="B29" s="17"/>
      <c r="C29" s="17"/>
      <c r="D29" s="17"/>
      <c r="E29" s="17"/>
      <c r="F29" s="17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>
      <c r="A30" s="17"/>
      <c r="B30" s="17"/>
      <c r="C30" s="17"/>
      <c r="D30" s="17"/>
      <c r="E30" s="17"/>
      <c r="F30" s="17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1:69">
      <c r="A31" s="17"/>
      <c r="B31" s="17"/>
      <c r="C31" s="17"/>
      <c r="D31" s="17"/>
      <c r="E31" s="17"/>
      <c r="F31" s="17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1:69">
      <c r="A32" s="17"/>
      <c r="B32" s="17"/>
      <c r="C32" s="17"/>
      <c r="D32" s="17"/>
      <c r="E32" s="17"/>
      <c r="F32" s="1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1:69">
      <c r="A33" s="17"/>
      <c r="B33" s="17"/>
      <c r="C33" s="17"/>
      <c r="D33" s="17"/>
      <c r="E33" s="17"/>
      <c r="F33" s="17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>
      <c r="A34" s="17"/>
      <c r="B34" s="17"/>
      <c r="C34" s="17"/>
      <c r="D34" s="17"/>
      <c r="E34" s="17"/>
      <c r="F34" s="17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1:69">
      <c r="A35" s="17"/>
      <c r="B35" s="17"/>
      <c r="C35" s="17"/>
      <c r="D35" s="17"/>
      <c r="E35" s="17"/>
      <c r="F35" s="17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1:69">
      <c r="A36" s="17"/>
      <c r="B36" s="17"/>
      <c r="C36" s="17"/>
      <c r="D36" s="17"/>
      <c r="E36" s="17"/>
      <c r="F36" s="17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1:69">
      <c r="A37" s="17"/>
      <c r="B37" s="17"/>
      <c r="C37" s="17"/>
      <c r="D37" s="17"/>
      <c r="E37" s="17"/>
      <c r="F37" s="1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1:69">
      <c r="A38" s="17"/>
      <c r="B38" s="17"/>
      <c r="C38" s="17"/>
      <c r="D38" s="17"/>
      <c r="E38" s="17"/>
      <c r="F38" s="1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1:69">
      <c r="A39" s="17"/>
      <c r="B39" s="17"/>
      <c r="C39" s="17"/>
      <c r="D39" s="17"/>
      <c r="E39" s="17"/>
      <c r="F39" s="1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1:69">
      <c r="A40" s="17"/>
      <c r="B40" s="17"/>
      <c r="C40" s="17"/>
      <c r="D40" s="17"/>
      <c r="E40" s="17"/>
      <c r="F40" s="1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1:69">
      <c r="A41" s="17"/>
      <c r="B41" s="17"/>
      <c r="C41" s="17"/>
      <c r="D41" s="17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1:69">
      <c r="A42" s="17"/>
      <c r="B42" s="17"/>
      <c r="C42" s="17"/>
      <c r="D42" s="17"/>
      <c r="E42" s="17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1:69">
      <c r="A43" s="17"/>
      <c r="B43" s="17"/>
      <c r="C43" s="17"/>
      <c r="D43" s="17"/>
      <c r="E43" s="17"/>
      <c r="F43" s="17"/>
      <c r="G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1:69">
      <c r="A44" s="17"/>
      <c r="B44" s="17"/>
      <c r="C44" s="17"/>
      <c r="D44" s="17"/>
      <c r="E44" s="17"/>
      <c r="F44" s="17"/>
      <c r="G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1:69">
      <c r="A45" s="17"/>
      <c r="B45" s="17"/>
      <c r="C45" s="17"/>
      <c r="D45" s="17"/>
      <c r="E45" s="17"/>
      <c r="F45" s="1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1:69">
      <c r="A46" s="17"/>
      <c r="B46" s="17"/>
      <c r="C46" s="17"/>
      <c r="D46" s="17"/>
      <c r="E46" s="17"/>
      <c r="F46" s="17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1:69">
      <c r="A47" s="17"/>
      <c r="B47" s="17"/>
      <c r="C47" s="17"/>
      <c r="D47" s="17"/>
      <c r="E47" s="17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</sheetData>
  <sheetProtection algorithmName="SHA-512" hashValue="oiMJQUCJEb7Zf5JNaECJHZ1Bf4YVIq7ve9bwU1r3rHzO20rySWREjYmVAovxZZ8spmMLwSRM+OZe+xIMGTBuCw==" saltValue="qol6XvE7qsFnSuN5ZEIMFw==" spinCount="100000" sheet="1" objects="1"/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4"/>
  <cols>
    <col min="1" max="1" width="22.75" customWidth="1"/>
    <col min="2" max="2" width="11.125"/>
    <col min="8" max="69" width="4.625" style="2" customWidth="1"/>
  </cols>
  <sheetData>
    <row r="1" s="1" customFormat="1" ht="27" customHeight="1" spans="1:69">
      <c r="A1" s="3" t="s">
        <v>62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 t="s">
        <v>48</v>
      </c>
      <c r="B4" s="9"/>
      <c r="C4" s="10">
        <f t="shared" ref="C4:C22" si="0">SUMIF($3:$3,"入库",4:4)</f>
        <v>0</v>
      </c>
      <c r="D4" s="10">
        <f t="shared" ref="D4:D22" si="1">SUMIF($3:$3,"出库",4:4)</f>
        <v>0</v>
      </c>
      <c r="E4" s="10">
        <f t="shared" ref="E4:E22" si="2">B4+C4-D4</f>
        <v>0</v>
      </c>
      <c r="F4" s="9">
        <v>50</v>
      </c>
      <c r="G4" s="10" t="str">
        <f t="shared" ref="G4:G22" si="3">IF(E4&lt;F4,"库存不足","库存充足")</f>
        <v>库存不足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 t="s">
        <v>49</v>
      </c>
      <c r="B5" s="9"/>
      <c r="C5" s="10">
        <f t="shared" si="0"/>
        <v>0</v>
      </c>
      <c r="D5" s="10">
        <f t="shared" si="1"/>
        <v>0</v>
      </c>
      <c r="E5" s="10">
        <f t="shared" si="2"/>
        <v>0</v>
      </c>
      <c r="F5" s="9">
        <v>50</v>
      </c>
      <c r="G5" s="10" t="str">
        <f t="shared" si="3"/>
        <v>库存不足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 t="s">
        <v>50</v>
      </c>
      <c r="B6" s="9"/>
      <c r="C6" s="10">
        <f t="shared" si="0"/>
        <v>0</v>
      </c>
      <c r="D6" s="10">
        <f t="shared" si="1"/>
        <v>0</v>
      </c>
      <c r="E6" s="10">
        <f t="shared" si="2"/>
        <v>0</v>
      </c>
      <c r="F6" s="9">
        <v>50</v>
      </c>
      <c r="G6" s="10" t="str">
        <f t="shared" si="3"/>
        <v>库存不足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 t="s">
        <v>51</v>
      </c>
      <c r="B7" s="9"/>
      <c r="C7" s="10">
        <f t="shared" si="0"/>
        <v>0</v>
      </c>
      <c r="D7" s="10">
        <f t="shared" si="1"/>
        <v>0</v>
      </c>
      <c r="E7" s="10">
        <f t="shared" si="2"/>
        <v>0</v>
      </c>
      <c r="F7" s="9">
        <v>50</v>
      </c>
      <c r="G7" s="10" t="str">
        <f t="shared" si="3"/>
        <v>库存不足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 t="s">
        <v>52</v>
      </c>
      <c r="B8" s="9"/>
      <c r="C8" s="10">
        <f t="shared" si="0"/>
        <v>0</v>
      </c>
      <c r="D8" s="10">
        <f t="shared" si="1"/>
        <v>0</v>
      </c>
      <c r="E8" s="10">
        <f t="shared" si="2"/>
        <v>0</v>
      </c>
      <c r="F8" s="9">
        <v>50</v>
      </c>
      <c r="G8" s="10" t="str">
        <f t="shared" si="3"/>
        <v>库存不足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 t="s">
        <v>53</v>
      </c>
      <c r="B9" s="9"/>
      <c r="C9" s="10">
        <f t="shared" si="0"/>
        <v>0</v>
      </c>
      <c r="D9" s="10">
        <f t="shared" si="1"/>
        <v>0</v>
      </c>
      <c r="E9" s="10">
        <f t="shared" si="2"/>
        <v>0</v>
      </c>
      <c r="F9" s="9">
        <v>50</v>
      </c>
      <c r="G9" s="10" t="str">
        <f t="shared" si="3"/>
        <v>库存不足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 t="s">
        <v>54</v>
      </c>
      <c r="B10" s="9"/>
      <c r="C10" s="10">
        <f t="shared" si="0"/>
        <v>0</v>
      </c>
      <c r="D10" s="10">
        <f t="shared" si="1"/>
        <v>0</v>
      </c>
      <c r="E10" s="10">
        <f t="shared" si="2"/>
        <v>0</v>
      </c>
      <c r="F10" s="9">
        <v>50</v>
      </c>
      <c r="G10" s="10" t="str">
        <f t="shared" si="3"/>
        <v>库存不足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 t="s">
        <v>55</v>
      </c>
      <c r="B11" s="9"/>
      <c r="C11" s="10">
        <f t="shared" si="0"/>
        <v>0</v>
      </c>
      <c r="D11" s="10">
        <f t="shared" si="1"/>
        <v>0</v>
      </c>
      <c r="E11" s="10">
        <f t="shared" si="2"/>
        <v>0</v>
      </c>
      <c r="F11" s="9">
        <v>50</v>
      </c>
      <c r="G11" s="10" t="str">
        <f t="shared" si="3"/>
        <v>库存不足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 t="s">
        <v>56</v>
      </c>
      <c r="B12" s="9"/>
      <c r="C12" s="10">
        <f t="shared" si="0"/>
        <v>0</v>
      </c>
      <c r="D12" s="10">
        <f t="shared" si="1"/>
        <v>0</v>
      </c>
      <c r="E12" s="10">
        <f t="shared" si="2"/>
        <v>0</v>
      </c>
      <c r="F12" s="9">
        <v>50</v>
      </c>
      <c r="G12" s="10" t="str">
        <f t="shared" si="3"/>
        <v>库存不足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 t="s">
        <v>57</v>
      </c>
      <c r="B13" s="9"/>
      <c r="C13" s="10">
        <f t="shared" si="0"/>
        <v>0</v>
      </c>
      <c r="D13" s="10">
        <f t="shared" si="1"/>
        <v>0</v>
      </c>
      <c r="E13" s="10">
        <f t="shared" si="2"/>
        <v>0</v>
      </c>
      <c r="F13" s="9">
        <v>50</v>
      </c>
      <c r="G13" s="10" t="str">
        <f t="shared" si="3"/>
        <v>库存不足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 t="s">
        <v>58</v>
      </c>
      <c r="B14" s="9"/>
      <c r="C14" s="10">
        <f t="shared" si="0"/>
        <v>0</v>
      </c>
      <c r="D14" s="10">
        <f t="shared" si="1"/>
        <v>0</v>
      </c>
      <c r="E14" s="10">
        <f t="shared" si="2"/>
        <v>0</v>
      </c>
      <c r="F14" s="9">
        <v>50</v>
      </c>
      <c r="G14" s="10" t="str">
        <f t="shared" si="3"/>
        <v>库存不足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 t="s">
        <v>59</v>
      </c>
      <c r="B15" s="9"/>
      <c r="C15" s="10">
        <f t="shared" si="0"/>
        <v>0</v>
      </c>
      <c r="D15" s="10">
        <f t="shared" si="1"/>
        <v>0</v>
      </c>
      <c r="E15" s="10">
        <f t="shared" si="2"/>
        <v>0</v>
      </c>
      <c r="F15" s="9">
        <v>50</v>
      </c>
      <c r="G15" s="10" t="str">
        <f t="shared" si="3"/>
        <v>库存不足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 t="s">
        <v>60</v>
      </c>
      <c r="B16" s="9"/>
      <c r="C16" s="10">
        <f t="shared" si="0"/>
        <v>0</v>
      </c>
      <c r="D16" s="10">
        <f t="shared" si="1"/>
        <v>0</v>
      </c>
      <c r="E16" s="10">
        <f t="shared" si="2"/>
        <v>0</v>
      </c>
      <c r="F16" s="9">
        <v>50</v>
      </c>
      <c r="G16" s="10" t="str">
        <f t="shared" si="3"/>
        <v>库存不足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 t="s">
        <v>61</v>
      </c>
      <c r="B17" s="9"/>
      <c r="C17" s="10">
        <f t="shared" si="0"/>
        <v>0</v>
      </c>
      <c r="D17" s="10">
        <f t="shared" si="1"/>
        <v>0</v>
      </c>
      <c r="E17" s="10">
        <f t="shared" si="2"/>
        <v>0</v>
      </c>
      <c r="F17" s="9">
        <v>50</v>
      </c>
      <c r="G17" s="10" t="str">
        <f t="shared" si="3"/>
        <v>库存不足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/>
      <c r="C18" s="10">
        <f t="shared" si="0"/>
        <v>0</v>
      </c>
      <c r="D18" s="10">
        <f t="shared" si="1"/>
        <v>0</v>
      </c>
      <c r="E18" s="10">
        <f t="shared" si="2"/>
        <v>0</v>
      </c>
      <c r="F18" s="9">
        <v>50</v>
      </c>
      <c r="G18" s="10" t="str">
        <f t="shared" si="3"/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2"/>
      <c r="B23" s="12"/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</row>
    <row r="24" spans="1:69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 spans="1:69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 spans="1:69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 spans="1:69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 spans="1:6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 spans="1:69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</row>
    <row r="41" spans="1:69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</row>
    <row r="42" spans="1:69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 spans="1:69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 spans="1:69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 spans="1:69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 spans="1:69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 spans="1:69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</sheetData>
  <sheetProtection algorithmName="SHA-512" hashValue="1n7vI4SDzp6rKyTBhpvXW6LwFhtCJccJlBef0GRHQv4puV5npEdVmmt+ZtwtM4/9ouhprxp/8Xr3rncOlMaeOw==" saltValue="OYu8OvVPsfVjzOutjTbMRA==" spinCount="100000" sheet="1" objects="1"/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4"/>
  <cols>
    <col min="1" max="1" width="21.375" customWidth="1"/>
    <col min="2" max="2" width="11.125"/>
    <col min="8" max="69" width="4.625" style="2" customWidth="1"/>
  </cols>
  <sheetData>
    <row r="1" s="1" customFormat="1" ht="27" customHeight="1" spans="1:69">
      <c r="A1" s="3" t="s">
        <v>63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 t="s">
        <v>48</v>
      </c>
      <c r="B4" s="9"/>
      <c r="C4" s="10">
        <f t="shared" ref="C4:C22" si="0">SUMIF($3:$3,"入库",4:4)</f>
        <v>0</v>
      </c>
      <c r="D4" s="10">
        <f t="shared" ref="D4:D22" si="1">SUMIF($3:$3,"出库",4:4)</f>
        <v>0</v>
      </c>
      <c r="E4" s="10">
        <f t="shared" ref="E4:E22" si="2">B4+C4-D4</f>
        <v>0</v>
      </c>
      <c r="F4" s="9">
        <v>50</v>
      </c>
      <c r="G4" s="10" t="str">
        <f t="shared" ref="G4:G22" si="3">IF(E4&lt;F4,"库存不足","库存充足")</f>
        <v>库存不足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 t="s">
        <v>49</v>
      </c>
      <c r="B5" s="9"/>
      <c r="C5" s="10">
        <f t="shared" si="0"/>
        <v>0</v>
      </c>
      <c r="D5" s="10">
        <f t="shared" si="1"/>
        <v>0</v>
      </c>
      <c r="E5" s="10">
        <f t="shared" si="2"/>
        <v>0</v>
      </c>
      <c r="F5" s="9">
        <v>50</v>
      </c>
      <c r="G5" s="10" t="str">
        <f t="shared" si="3"/>
        <v>库存不足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 t="s">
        <v>50</v>
      </c>
      <c r="B6" s="9"/>
      <c r="C6" s="10">
        <f t="shared" si="0"/>
        <v>0</v>
      </c>
      <c r="D6" s="10">
        <f t="shared" si="1"/>
        <v>0</v>
      </c>
      <c r="E6" s="10">
        <f t="shared" si="2"/>
        <v>0</v>
      </c>
      <c r="F6" s="9">
        <v>50</v>
      </c>
      <c r="G6" s="10" t="str">
        <f t="shared" si="3"/>
        <v>库存不足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 t="s">
        <v>51</v>
      </c>
      <c r="B7" s="9"/>
      <c r="C7" s="10">
        <f t="shared" si="0"/>
        <v>0</v>
      </c>
      <c r="D7" s="10">
        <f t="shared" si="1"/>
        <v>0</v>
      </c>
      <c r="E7" s="10">
        <f t="shared" si="2"/>
        <v>0</v>
      </c>
      <c r="F7" s="9">
        <v>50</v>
      </c>
      <c r="G7" s="10" t="str">
        <f t="shared" si="3"/>
        <v>库存不足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 t="s">
        <v>52</v>
      </c>
      <c r="B8" s="9"/>
      <c r="C8" s="10">
        <f t="shared" si="0"/>
        <v>0</v>
      </c>
      <c r="D8" s="10">
        <f t="shared" si="1"/>
        <v>0</v>
      </c>
      <c r="E8" s="10">
        <f t="shared" si="2"/>
        <v>0</v>
      </c>
      <c r="F8" s="9">
        <v>50</v>
      </c>
      <c r="G8" s="10" t="str">
        <f t="shared" si="3"/>
        <v>库存不足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 t="s">
        <v>53</v>
      </c>
      <c r="B9" s="9"/>
      <c r="C9" s="10">
        <f t="shared" si="0"/>
        <v>0</v>
      </c>
      <c r="D9" s="10">
        <f t="shared" si="1"/>
        <v>0</v>
      </c>
      <c r="E9" s="10">
        <f t="shared" si="2"/>
        <v>0</v>
      </c>
      <c r="F9" s="9">
        <v>50</v>
      </c>
      <c r="G9" s="10" t="str">
        <f t="shared" si="3"/>
        <v>库存不足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 t="s">
        <v>54</v>
      </c>
      <c r="B10" s="9"/>
      <c r="C10" s="10">
        <f t="shared" si="0"/>
        <v>0</v>
      </c>
      <c r="D10" s="10">
        <f t="shared" si="1"/>
        <v>0</v>
      </c>
      <c r="E10" s="10">
        <f t="shared" si="2"/>
        <v>0</v>
      </c>
      <c r="F10" s="9">
        <v>50</v>
      </c>
      <c r="G10" s="10" t="str">
        <f t="shared" si="3"/>
        <v>库存不足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 t="s">
        <v>55</v>
      </c>
      <c r="B11" s="9"/>
      <c r="C11" s="10">
        <f t="shared" si="0"/>
        <v>0</v>
      </c>
      <c r="D11" s="10">
        <f t="shared" si="1"/>
        <v>0</v>
      </c>
      <c r="E11" s="10">
        <f t="shared" si="2"/>
        <v>0</v>
      </c>
      <c r="F11" s="9">
        <v>50</v>
      </c>
      <c r="G11" s="10" t="str">
        <f t="shared" si="3"/>
        <v>库存不足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 t="s">
        <v>56</v>
      </c>
      <c r="B12" s="9"/>
      <c r="C12" s="10">
        <f t="shared" si="0"/>
        <v>0</v>
      </c>
      <c r="D12" s="10">
        <f t="shared" si="1"/>
        <v>0</v>
      </c>
      <c r="E12" s="10">
        <f t="shared" si="2"/>
        <v>0</v>
      </c>
      <c r="F12" s="9">
        <v>50</v>
      </c>
      <c r="G12" s="10" t="str">
        <f t="shared" si="3"/>
        <v>库存不足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 t="s">
        <v>57</v>
      </c>
      <c r="B13" s="9"/>
      <c r="C13" s="10">
        <f t="shared" si="0"/>
        <v>0</v>
      </c>
      <c r="D13" s="10">
        <f t="shared" si="1"/>
        <v>0</v>
      </c>
      <c r="E13" s="10">
        <f t="shared" si="2"/>
        <v>0</v>
      </c>
      <c r="F13" s="9">
        <v>50</v>
      </c>
      <c r="G13" s="10" t="str">
        <f t="shared" si="3"/>
        <v>库存不足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 t="s">
        <v>58</v>
      </c>
      <c r="B14" s="9"/>
      <c r="C14" s="10">
        <f t="shared" si="0"/>
        <v>0</v>
      </c>
      <c r="D14" s="10">
        <f t="shared" si="1"/>
        <v>0</v>
      </c>
      <c r="E14" s="10">
        <f t="shared" si="2"/>
        <v>0</v>
      </c>
      <c r="F14" s="9">
        <v>50</v>
      </c>
      <c r="G14" s="10" t="str">
        <f t="shared" si="3"/>
        <v>库存不足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 t="s">
        <v>59</v>
      </c>
      <c r="B15" s="9"/>
      <c r="C15" s="10">
        <f t="shared" si="0"/>
        <v>0</v>
      </c>
      <c r="D15" s="10">
        <f t="shared" si="1"/>
        <v>0</v>
      </c>
      <c r="E15" s="10">
        <f t="shared" si="2"/>
        <v>0</v>
      </c>
      <c r="F15" s="9">
        <v>50</v>
      </c>
      <c r="G15" s="10" t="str">
        <f t="shared" si="3"/>
        <v>库存不足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 t="s">
        <v>60</v>
      </c>
      <c r="B16" s="9"/>
      <c r="C16" s="10">
        <f t="shared" si="0"/>
        <v>0</v>
      </c>
      <c r="D16" s="10">
        <f t="shared" si="1"/>
        <v>0</v>
      </c>
      <c r="E16" s="10">
        <f t="shared" si="2"/>
        <v>0</v>
      </c>
      <c r="F16" s="9">
        <v>50</v>
      </c>
      <c r="G16" s="10" t="str">
        <f t="shared" si="3"/>
        <v>库存不足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 t="s">
        <v>61</v>
      </c>
      <c r="B17" s="9"/>
      <c r="C17" s="10">
        <f t="shared" si="0"/>
        <v>0</v>
      </c>
      <c r="D17" s="10">
        <f t="shared" si="1"/>
        <v>0</v>
      </c>
      <c r="E17" s="10">
        <f t="shared" si="2"/>
        <v>0</v>
      </c>
      <c r="F17" s="9">
        <v>50</v>
      </c>
      <c r="G17" s="10" t="str">
        <f t="shared" si="3"/>
        <v>库存不足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17"/>
      <c r="B18" s="17"/>
      <c r="C18" s="10">
        <f t="shared" si="0"/>
        <v>0</v>
      </c>
      <c r="D18" s="10">
        <f t="shared" si="1"/>
        <v>0</v>
      </c>
      <c r="E18" s="10">
        <f t="shared" si="2"/>
        <v>0</v>
      </c>
      <c r="F18" s="9">
        <v>50</v>
      </c>
      <c r="G18" s="10" t="str">
        <f t="shared" si="3"/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17"/>
      <c r="B19" s="17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17"/>
      <c r="B20" s="17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17"/>
      <c r="B21" s="17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17"/>
      <c r="B22" s="17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2"/>
      <c r="B23" s="12"/>
      <c r="C23" s="12"/>
      <c r="D23" s="12"/>
      <c r="E23" s="12"/>
      <c r="F23" s="12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</row>
    <row r="24" spans="1:69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</row>
    <row r="25" spans="1:69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</row>
    <row r="26" spans="1:69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</row>
    <row r="27" spans="1:69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</row>
    <row r="28" spans="1:69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 spans="1:6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 spans="1:69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</row>
    <row r="41" spans="1:69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</row>
    <row r="42" spans="1:69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 spans="1:69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 spans="1:69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 spans="1:69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 spans="1:69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 spans="1:69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</sheetData>
  <sheetProtection algorithmName="SHA-512" hashValue="BlIoFzhXytuAwEGU0xDI5Hx5bof5Xi1vq/stqwmMrWWD/56cTAjYN78UEFCIBQfhCyNc8oFTbUuzFSllL+dGTQ==" saltValue="7qKFEgoszShjT19yd43iRg==" spinCount="100000" sheet="1" objects="1"/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C22" sqref="C22"/>
    </sheetView>
  </sheetViews>
  <sheetFormatPr defaultColWidth="9" defaultRowHeight="14"/>
  <cols>
    <col min="1" max="1" width="23.875" style="14" customWidth="1"/>
    <col min="2" max="2" width="11.125" style="14"/>
    <col min="3" max="7" width="9" style="14"/>
    <col min="8" max="69" width="4.625" style="15" customWidth="1"/>
    <col min="70" max="16384" width="9" style="14"/>
  </cols>
  <sheetData>
    <row r="1" s="4" customFormat="1" ht="27" customHeight="1" spans="1:69">
      <c r="A1" s="3" t="s">
        <v>64</v>
      </c>
      <c r="B1" s="3"/>
      <c r="C1" s="3"/>
      <c r="D1" s="3"/>
      <c r="E1" s="3"/>
      <c r="F1" s="3"/>
      <c r="G1" s="3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 t="s">
        <v>48</v>
      </c>
      <c r="B4" s="9"/>
      <c r="C4" s="10">
        <f t="shared" ref="C4:C22" si="0">SUMIF($3:$3,"入库",4:4)</f>
        <v>0</v>
      </c>
      <c r="D4" s="10">
        <f t="shared" ref="D4:D22" si="1">SUMIF($3:$3,"出库",4:4)</f>
        <v>0</v>
      </c>
      <c r="E4" s="10">
        <f t="shared" ref="E4:E22" si="2">B4+C4-D4</f>
        <v>0</v>
      </c>
      <c r="F4" s="9">
        <v>50</v>
      </c>
      <c r="G4" s="10" t="str">
        <f t="shared" ref="G4:G22" si="3">IF(E4&lt;F4,"库存不足","库存充足")</f>
        <v>库存不足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 t="s">
        <v>49</v>
      </c>
      <c r="B5" s="9"/>
      <c r="C5" s="10">
        <f t="shared" si="0"/>
        <v>0</v>
      </c>
      <c r="D5" s="10">
        <f t="shared" si="1"/>
        <v>0</v>
      </c>
      <c r="E5" s="10">
        <f t="shared" si="2"/>
        <v>0</v>
      </c>
      <c r="F5" s="9">
        <v>50</v>
      </c>
      <c r="G5" s="10" t="str">
        <f t="shared" si="3"/>
        <v>库存不足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 t="s">
        <v>50</v>
      </c>
      <c r="B6" s="9"/>
      <c r="C6" s="10">
        <f t="shared" si="0"/>
        <v>0</v>
      </c>
      <c r="D6" s="10">
        <f t="shared" si="1"/>
        <v>0</v>
      </c>
      <c r="E6" s="10">
        <f t="shared" si="2"/>
        <v>0</v>
      </c>
      <c r="F6" s="9">
        <v>50</v>
      </c>
      <c r="G6" s="10" t="str">
        <f t="shared" si="3"/>
        <v>库存不足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 t="s">
        <v>51</v>
      </c>
      <c r="B7" s="9"/>
      <c r="C7" s="10">
        <f t="shared" si="0"/>
        <v>0</v>
      </c>
      <c r="D7" s="10">
        <f t="shared" si="1"/>
        <v>0</v>
      </c>
      <c r="E7" s="10">
        <f t="shared" si="2"/>
        <v>0</v>
      </c>
      <c r="F7" s="9">
        <v>50</v>
      </c>
      <c r="G7" s="10" t="str">
        <f t="shared" si="3"/>
        <v>库存不足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 t="s">
        <v>52</v>
      </c>
      <c r="B8" s="9"/>
      <c r="C8" s="10">
        <f t="shared" si="0"/>
        <v>0</v>
      </c>
      <c r="D8" s="10">
        <f t="shared" si="1"/>
        <v>0</v>
      </c>
      <c r="E8" s="10">
        <f t="shared" si="2"/>
        <v>0</v>
      </c>
      <c r="F8" s="9">
        <v>50</v>
      </c>
      <c r="G8" s="10" t="str">
        <f t="shared" si="3"/>
        <v>库存不足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 t="s">
        <v>53</v>
      </c>
      <c r="B9" s="9"/>
      <c r="C9" s="10">
        <f t="shared" si="0"/>
        <v>0</v>
      </c>
      <c r="D9" s="10">
        <f t="shared" si="1"/>
        <v>0</v>
      </c>
      <c r="E9" s="10">
        <f t="shared" si="2"/>
        <v>0</v>
      </c>
      <c r="F9" s="9">
        <v>50</v>
      </c>
      <c r="G9" s="10" t="str">
        <f t="shared" si="3"/>
        <v>库存不足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 t="s">
        <v>54</v>
      </c>
      <c r="B10" s="9"/>
      <c r="C10" s="10">
        <f t="shared" si="0"/>
        <v>0</v>
      </c>
      <c r="D10" s="10">
        <f t="shared" si="1"/>
        <v>0</v>
      </c>
      <c r="E10" s="10">
        <f t="shared" si="2"/>
        <v>0</v>
      </c>
      <c r="F10" s="9">
        <v>50</v>
      </c>
      <c r="G10" s="10" t="str">
        <f t="shared" si="3"/>
        <v>库存不足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 t="s">
        <v>55</v>
      </c>
      <c r="B11" s="9"/>
      <c r="C11" s="10">
        <f t="shared" si="0"/>
        <v>0</v>
      </c>
      <c r="D11" s="10">
        <f t="shared" si="1"/>
        <v>0</v>
      </c>
      <c r="E11" s="10">
        <f t="shared" si="2"/>
        <v>0</v>
      </c>
      <c r="F11" s="9">
        <v>50</v>
      </c>
      <c r="G11" s="10" t="str">
        <f t="shared" si="3"/>
        <v>库存不足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 t="s">
        <v>56</v>
      </c>
      <c r="B12" s="9"/>
      <c r="C12" s="10">
        <f t="shared" si="0"/>
        <v>0</v>
      </c>
      <c r="D12" s="10">
        <f t="shared" si="1"/>
        <v>0</v>
      </c>
      <c r="E12" s="10">
        <f t="shared" si="2"/>
        <v>0</v>
      </c>
      <c r="F12" s="9">
        <v>50</v>
      </c>
      <c r="G12" s="10" t="str">
        <f t="shared" si="3"/>
        <v>库存不足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 t="s">
        <v>57</v>
      </c>
      <c r="B13" s="9"/>
      <c r="C13" s="10">
        <f t="shared" si="0"/>
        <v>0</v>
      </c>
      <c r="D13" s="10">
        <f t="shared" si="1"/>
        <v>0</v>
      </c>
      <c r="E13" s="10">
        <f t="shared" si="2"/>
        <v>0</v>
      </c>
      <c r="F13" s="9">
        <v>50</v>
      </c>
      <c r="G13" s="10" t="str">
        <f t="shared" si="3"/>
        <v>库存不足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 t="s">
        <v>58</v>
      </c>
      <c r="B14" s="9"/>
      <c r="C14" s="10">
        <f t="shared" si="0"/>
        <v>0</v>
      </c>
      <c r="D14" s="10">
        <f t="shared" si="1"/>
        <v>0</v>
      </c>
      <c r="E14" s="10">
        <f t="shared" si="2"/>
        <v>0</v>
      </c>
      <c r="F14" s="9">
        <v>50</v>
      </c>
      <c r="G14" s="10" t="str">
        <f t="shared" si="3"/>
        <v>库存不足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 t="s">
        <v>59</v>
      </c>
      <c r="B15" s="9"/>
      <c r="C15" s="10">
        <f t="shared" si="0"/>
        <v>0</v>
      </c>
      <c r="D15" s="10">
        <f t="shared" si="1"/>
        <v>0</v>
      </c>
      <c r="E15" s="10">
        <f t="shared" si="2"/>
        <v>0</v>
      </c>
      <c r="F15" s="9">
        <v>50</v>
      </c>
      <c r="G15" s="10" t="str">
        <f t="shared" si="3"/>
        <v>库存不足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 t="s">
        <v>60</v>
      </c>
      <c r="B16" s="9"/>
      <c r="C16" s="10">
        <f t="shared" si="0"/>
        <v>0</v>
      </c>
      <c r="D16" s="10">
        <f t="shared" si="1"/>
        <v>0</v>
      </c>
      <c r="E16" s="10">
        <f t="shared" si="2"/>
        <v>0</v>
      </c>
      <c r="F16" s="9">
        <v>50</v>
      </c>
      <c r="G16" s="10" t="str">
        <f t="shared" si="3"/>
        <v>库存不足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>
        <f t="shared" si="0"/>
        <v>0</v>
      </c>
      <c r="D17" s="10">
        <f t="shared" si="1"/>
        <v>0</v>
      </c>
      <c r="E17" s="10">
        <f t="shared" si="2"/>
        <v>0</v>
      </c>
      <c r="F17" s="9">
        <v>50</v>
      </c>
      <c r="G17" s="10" t="str">
        <f t="shared" si="3"/>
        <v>库存不足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>
        <f t="shared" si="0"/>
        <v>0</v>
      </c>
      <c r="D18" s="10">
        <f t="shared" si="1"/>
        <v>0</v>
      </c>
      <c r="E18" s="10">
        <f t="shared" si="2"/>
        <v>0</v>
      </c>
      <c r="F18" s="9">
        <v>50</v>
      </c>
      <c r="G18" s="10" t="str">
        <f t="shared" si="3"/>
        <v>库存不足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1:69">
      <c r="A19" s="9"/>
      <c r="B19" s="9"/>
      <c r="C19" s="10">
        <f t="shared" si="0"/>
        <v>0</v>
      </c>
      <c r="D19" s="10">
        <f t="shared" si="1"/>
        <v>0</v>
      </c>
      <c r="E19" s="10">
        <f t="shared" si="2"/>
        <v>0</v>
      </c>
      <c r="F19" s="9">
        <v>50</v>
      </c>
      <c r="G19" s="10" t="str">
        <f t="shared" si="3"/>
        <v>库存不足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1:69">
      <c r="A20" s="9"/>
      <c r="B20" s="9"/>
      <c r="C20" s="10">
        <f t="shared" si="0"/>
        <v>0</v>
      </c>
      <c r="D20" s="10">
        <f t="shared" si="1"/>
        <v>0</v>
      </c>
      <c r="E20" s="10">
        <f t="shared" si="2"/>
        <v>0</v>
      </c>
      <c r="F20" s="9">
        <v>50</v>
      </c>
      <c r="G20" s="10" t="str">
        <f t="shared" si="3"/>
        <v>库存不足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1:69">
      <c r="A21" s="9"/>
      <c r="B21" s="9"/>
      <c r="C21" s="10">
        <f t="shared" si="0"/>
        <v>0</v>
      </c>
      <c r="D21" s="10">
        <f t="shared" si="1"/>
        <v>0</v>
      </c>
      <c r="E21" s="10">
        <f t="shared" si="2"/>
        <v>0</v>
      </c>
      <c r="F21" s="9">
        <v>50</v>
      </c>
      <c r="G21" s="10" t="str">
        <f t="shared" si="3"/>
        <v>库存不足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>
      <c r="A22" s="9"/>
      <c r="B22" s="9"/>
      <c r="C22" s="10">
        <f t="shared" si="0"/>
        <v>0</v>
      </c>
      <c r="D22" s="10">
        <f t="shared" si="1"/>
        <v>0</v>
      </c>
      <c r="E22" s="10">
        <f t="shared" si="2"/>
        <v>0</v>
      </c>
      <c r="F22" s="9">
        <v>50</v>
      </c>
      <c r="G22" s="10" t="str">
        <f t="shared" si="3"/>
        <v>库存不足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1:69">
      <c r="A23" s="17"/>
      <c r="B23" s="17"/>
      <c r="C23" s="17"/>
      <c r="D23" s="17"/>
      <c r="E23" s="17"/>
      <c r="F23" s="17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1:69">
      <c r="A24" s="17"/>
      <c r="B24" s="17"/>
      <c r="C24" s="17"/>
      <c r="D24" s="17"/>
      <c r="E24" s="17"/>
      <c r="F24" s="17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1:69">
      <c r="A25" s="17"/>
      <c r="B25" s="17"/>
      <c r="C25" s="17"/>
      <c r="D25" s="17"/>
      <c r="E25" s="17"/>
      <c r="F25" s="17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1:69">
      <c r="A26" s="17"/>
      <c r="B26" s="17"/>
      <c r="C26" s="17"/>
      <c r="D26" s="17"/>
      <c r="E26" s="17"/>
      <c r="F26" s="17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>
      <c r="A27" s="17"/>
      <c r="B27" s="17"/>
      <c r="C27" s="17"/>
      <c r="D27" s="17"/>
      <c r="E27" s="17"/>
      <c r="F27" s="17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>
      <c r="A28" s="17"/>
      <c r="B28" s="17"/>
      <c r="C28" s="17"/>
      <c r="D28" s="17"/>
      <c r="E28" s="17"/>
      <c r="F28" s="1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1:69">
      <c r="A29" s="17"/>
      <c r="B29" s="17"/>
      <c r="C29" s="17"/>
      <c r="D29" s="17"/>
      <c r="E29" s="17"/>
      <c r="F29" s="17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>
      <c r="A30" s="17"/>
      <c r="B30" s="17"/>
      <c r="C30" s="17"/>
      <c r="D30" s="17"/>
      <c r="E30" s="17"/>
      <c r="F30" s="17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1:69">
      <c r="A31" s="17"/>
      <c r="B31" s="17"/>
      <c r="C31" s="17"/>
      <c r="D31" s="17"/>
      <c r="E31" s="17"/>
      <c r="F31" s="17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1:69">
      <c r="A32" s="17"/>
      <c r="B32" s="17"/>
      <c r="C32" s="17"/>
      <c r="D32" s="17"/>
      <c r="E32" s="17"/>
      <c r="F32" s="1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1:69">
      <c r="A33" s="17"/>
      <c r="B33" s="17"/>
      <c r="C33" s="17"/>
      <c r="D33" s="17"/>
      <c r="E33" s="17"/>
      <c r="F33" s="17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>
      <c r="A34" s="17"/>
      <c r="B34" s="17"/>
      <c r="C34" s="17"/>
      <c r="D34" s="17"/>
      <c r="E34" s="17"/>
      <c r="F34" s="17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1:69">
      <c r="A35" s="17"/>
      <c r="B35" s="17"/>
      <c r="C35" s="17"/>
      <c r="D35" s="17"/>
      <c r="E35" s="17"/>
      <c r="F35" s="17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1:69">
      <c r="A36" s="17"/>
      <c r="B36" s="17"/>
      <c r="C36" s="17"/>
      <c r="D36" s="17"/>
      <c r="E36" s="17"/>
      <c r="F36" s="17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1:69">
      <c r="A37" s="17"/>
      <c r="B37" s="17"/>
      <c r="C37" s="17"/>
      <c r="D37" s="17"/>
      <c r="E37" s="17"/>
      <c r="F37" s="1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1:69">
      <c r="A38" s="17"/>
      <c r="B38" s="17"/>
      <c r="C38" s="17"/>
      <c r="D38" s="17"/>
      <c r="E38" s="17"/>
      <c r="F38" s="1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1:69">
      <c r="A39" s="17"/>
      <c r="B39" s="17"/>
      <c r="C39" s="17"/>
      <c r="D39" s="17"/>
      <c r="E39" s="17"/>
      <c r="F39" s="1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1:69">
      <c r="A40" s="17"/>
      <c r="B40" s="17"/>
      <c r="C40" s="17"/>
      <c r="D40" s="17"/>
      <c r="E40" s="17"/>
      <c r="F40" s="1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1:69">
      <c r="A41" s="17"/>
      <c r="B41" s="17"/>
      <c r="C41" s="17"/>
      <c r="D41" s="17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1:69">
      <c r="A42" s="17"/>
      <c r="B42" s="17"/>
      <c r="C42" s="17"/>
      <c r="D42" s="17"/>
      <c r="E42" s="17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1:69">
      <c r="A43" s="17"/>
      <c r="B43" s="17"/>
      <c r="C43" s="17"/>
      <c r="D43" s="17"/>
      <c r="E43" s="17"/>
      <c r="F43" s="17"/>
      <c r="G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1:69">
      <c r="A44" s="17"/>
      <c r="B44" s="17"/>
      <c r="C44" s="17"/>
      <c r="D44" s="17"/>
      <c r="E44" s="17"/>
      <c r="F44" s="17"/>
      <c r="G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1:69">
      <c r="A45" s="17"/>
      <c r="B45" s="17"/>
      <c r="C45" s="17"/>
      <c r="D45" s="17"/>
      <c r="E45" s="17"/>
      <c r="F45" s="1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1:69">
      <c r="A46" s="17"/>
      <c r="B46" s="17"/>
      <c r="C46" s="17"/>
      <c r="D46" s="17"/>
      <c r="E46" s="17"/>
      <c r="F46" s="17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1:69">
      <c r="A47" s="17"/>
      <c r="B47" s="17"/>
      <c r="C47" s="17"/>
      <c r="D47" s="17"/>
      <c r="E47" s="17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</sheetData>
  <sheetProtection algorithmName="SHA-512" hashValue="mvZaqG5jTUwzqfFKLmE2r/ZcS+glEBCNR1osScUr/+o4IX9nCRSBRUxLODkh6UAhCqUMGzUYF6s1/Xp/XpVD1w==" saltValue="CS7WO+8sX3lMMNatiilaEA==" spinCount="100000" sheet="1" objects="1"/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47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D27" sqref="D27"/>
    </sheetView>
  </sheetViews>
  <sheetFormatPr defaultColWidth="9" defaultRowHeight="14"/>
  <cols>
    <col min="1" max="1" width="22.625" customWidth="1"/>
    <col min="2" max="2" width="11.125"/>
    <col min="8" max="69" width="4.625" style="2" customWidth="1"/>
  </cols>
  <sheetData>
    <row r="1" s="1" customFormat="1" ht="27" customHeight="1" spans="1:69">
      <c r="A1" s="3" t="s">
        <v>65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 t="s">
        <v>48</v>
      </c>
      <c r="B4" s="9"/>
      <c r="C4" s="10">
        <f t="shared" ref="C4:C17" si="0">SUMIF($3:$3,"入库",4:4)</f>
        <v>0</v>
      </c>
      <c r="D4" s="10">
        <f t="shared" ref="D4:D17" si="1">SUMIF($3:$3,"出库",4:4)</f>
        <v>0</v>
      </c>
      <c r="E4" s="10">
        <f t="shared" ref="E4:E17" si="2">B4+C4-D4</f>
        <v>0</v>
      </c>
      <c r="F4" s="9">
        <v>50</v>
      </c>
      <c r="G4" s="10" t="str">
        <f t="shared" ref="G4:G17" si="3">IF(E4&lt;F4,"库存不足","库存充足")</f>
        <v>库存不足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 t="s">
        <v>49</v>
      </c>
      <c r="B5" s="9"/>
      <c r="C5" s="10">
        <f t="shared" si="0"/>
        <v>0</v>
      </c>
      <c r="D5" s="10">
        <f t="shared" si="1"/>
        <v>0</v>
      </c>
      <c r="E5" s="10">
        <f t="shared" si="2"/>
        <v>0</v>
      </c>
      <c r="F5" s="9">
        <v>50</v>
      </c>
      <c r="G5" s="10" t="str">
        <f t="shared" si="3"/>
        <v>库存不足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 t="s">
        <v>50</v>
      </c>
      <c r="B6" s="9"/>
      <c r="C6" s="10">
        <f t="shared" si="0"/>
        <v>0</v>
      </c>
      <c r="D6" s="10">
        <f t="shared" si="1"/>
        <v>0</v>
      </c>
      <c r="E6" s="10">
        <f t="shared" si="2"/>
        <v>0</v>
      </c>
      <c r="F6" s="9">
        <v>50</v>
      </c>
      <c r="G6" s="10" t="str">
        <f t="shared" si="3"/>
        <v>库存不足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 t="s">
        <v>51</v>
      </c>
      <c r="B7" s="9"/>
      <c r="C7" s="10">
        <f t="shared" si="0"/>
        <v>0</v>
      </c>
      <c r="D7" s="10">
        <f t="shared" si="1"/>
        <v>0</v>
      </c>
      <c r="E7" s="10">
        <f t="shared" si="2"/>
        <v>0</v>
      </c>
      <c r="F7" s="9">
        <v>50</v>
      </c>
      <c r="G7" s="10" t="str">
        <f t="shared" si="3"/>
        <v>库存不足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 t="s">
        <v>52</v>
      </c>
      <c r="B8" s="9"/>
      <c r="C8" s="10">
        <f t="shared" si="0"/>
        <v>0</v>
      </c>
      <c r="D8" s="10">
        <f t="shared" si="1"/>
        <v>0</v>
      </c>
      <c r="E8" s="10">
        <f t="shared" si="2"/>
        <v>0</v>
      </c>
      <c r="F8" s="9">
        <v>50</v>
      </c>
      <c r="G8" s="10" t="str">
        <f t="shared" si="3"/>
        <v>库存不足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 t="s">
        <v>53</v>
      </c>
      <c r="B9" s="9"/>
      <c r="C9" s="10">
        <f t="shared" si="0"/>
        <v>0</v>
      </c>
      <c r="D9" s="10">
        <f t="shared" si="1"/>
        <v>0</v>
      </c>
      <c r="E9" s="10">
        <f t="shared" si="2"/>
        <v>0</v>
      </c>
      <c r="F9" s="9">
        <v>50</v>
      </c>
      <c r="G9" s="10" t="str">
        <f t="shared" si="3"/>
        <v>库存不足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 t="s">
        <v>54</v>
      </c>
      <c r="B10" s="9"/>
      <c r="C10" s="10">
        <f t="shared" si="0"/>
        <v>0</v>
      </c>
      <c r="D10" s="10">
        <f t="shared" si="1"/>
        <v>0</v>
      </c>
      <c r="E10" s="10">
        <f t="shared" si="2"/>
        <v>0</v>
      </c>
      <c r="F10" s="9">
        <v>50</v>
      </c>
      <c r="G10" s="10" t="str">
        <f t="shared" si="3"/>
        <v>库存不足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 t="s">
        <v>55</v>
      </c>
      <c r="B11" s="9"/>
      <c r="C11" s="10">
        <f t="shared" si="0"/>
        <v>0</v>
      </c>
      <c r="D11" s="10">
        <f t="shared" si="1"/>
        <v>0</v>
      </c>
      <c r="E11" s="10">
        <f t="shared" si="2"/>
        <v>0</v>
      </c>
      <c r="F11" s="9">
        <v>50</v>
      </c>
      <c r="G11" s="10" t="str">
        <f t="shared" si="3"/>
        <v>库存不足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 t="s">
        <v>56</v>
      </c>
      <c r="B12" s="9"/>
      <c r="C12" s="10">
        <f t="shared" si="0"/>
        <v>0</v>
      </c>
      <c r="D12" s="10">
        <f t="shared" si="1"/>
        <v>0</v>
      </c>
      <c r="E12" s="10">
        <f t="shared" si="2"/>
        <v>0</v>
      </c>
      <c r="F12" s="9">
        <v>50</v>
      </c>
      <c r="G12" s="10" t="str">
        <f t="shared" si="3"/>
        <v>库存不足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 t="s">
        <v>57</v>
      </c>
      <c r="B13" s="9"/>
      <c r="C13" s="10">
        <f t="shared" si="0"/>
        <v>0</v>
      </c>
      <c r="D13" s="10">
        <f t="shared" si="1"/>
        <v>0</v>
      </c>
      <c r="E13" s="10">
        <f t="shared" si="2"/>
        <v>0</v>
      </c>
      <c r="F13" s="9">
        <v>50</v>
      </c>
      <c r="G13" s="10" t="str">
        <f t="shared" si="3"/>
        <v>库存不足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 t="s">
        <v>58</v>
      </c>
      <c r="B14" s="9"/>
      <c r="C14" s="10">
        <f t="shared" si="0"/>
        <v>0</v>
      </c>
      <c r="D14" s="10">
        <f t="shared" si="1"/>
        <v>0</v>
      </c>
      <c r="E14" s="10">
        <f t="shared" si="2"/>
        <v>0</v>
      </c>
      <c r="F14" s="9">
        <v>50</v>
      </c>
      <c r="G14" s="10" t="str">
        <f t="shared" si="3"/>
        <v>库存不足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 t="s">
        <v>59</v>
      </c>
      <c r="B15" s="9"/>
      <c r="C15" s="10">
        <f t="shared" si="0"/>
        <v>0</v>
      </c>
      <c r="D15" s="10">
        <f t="shared" si="1"/>
        <v>0</v>
      </c>
      <c r="E15" s="10">
        <f t="shared" si="2"/>
        <v>0</v>
      </c>
      <c r="F15" s="9">
        <v>50</v>
      </c>
      <c r="G15" s="10" t="str">
        <f t="shared" si="3"/>
        <v>库存不足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 t="s">
        <v>60</v>
      </c>
      <c r="B16" s="9"/>
      <c r="C16" s="10">
        <f t="shared" si="0"/>
        <v>0</v>
      </c>
      <c r="D16" s="10">
        <f t="shared" si="1"/>
        <v>0</v>
      </c>
      <c r="E16" s="10">
        <f t="shared" si="2"/>
        <v>0</v>
      </c>
      <c r="F16" s="9">
        <v>50</v>
      </c>
      <c r="G16" s="10" t="str">
        <f t="shared" si="3"/>
        <v>库存不足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 t="s">
        <v>61</v>
      </c>
      <c r="B17" s="9"/>
      <c r="C17" s="10">
        <f t="shared" si="0"/>
        <v>0</v>
      </c>
      <c r="D17" s="10">
        <f t="shared" si="1"/>
        <v>0</v>
      </c>
      <c r="E17" s="10">
        <f t="shared" si="2"/>
        <v>0</v>
      </c>
      <c r="F17" s="9">
        <v>50</v>
      </c>
      <c r="G17" s="10" t="str">
        <f t="shared" si="3"/>
        <v>库存不足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>
        <f t="shared" ref="C18:C27" si="4">SUMIF($3:$3,"入库",18:18)</f>
        <v>0</v>
      </c>
      <c r="D18" s="10">
        <f t="shared" ref="D18:D27" si="5">SUMIF($3:$3,"出库",18:18)</f>
        <v>0</v>
      </c>
      <c r="E18" s="10">
        <f t="shared" ref="E18:E27" si="6">B18+C18-D18</f>
        <v>0</v>
      </c>
      <c r="F18" s="9">
        <v>50</v>
      </c>
      <c r="G18" s="10" t="str">
        <f t="shared" ref="G18:G27" si="7">IF(E18&lt;F18,"库存不足","库存充足")</f>
        <v>库存不足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>
        <f t="shared" si="4"/>
        <v>0</v>
      </c>
      <c r="D19" s="10">
        <f t="shared" si="5"/>
        <v>0</v>
      </c>
      <c r="E19" s="10">
        <f t="shared" si="6"/>
        <v>0</v>
      </c>
      <c r="F19" s="9">
        <v>50</v>
      </c>
      <c r="G19" s="10" t="str">
        <f t="shared" si="7"/>
        <v>库存不足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>
        <f t="shared" si="4"/>
        <v>0</v>
      </c>
      <c r="D20" s="10">
        <f t="shared" si="5"/>
        <v>0</v>
      </c>
      <c r="E20" s="10">
        <f t="shared" si="6"/>
        <v>0</v>
      </c>
      <c r="F20" s="9">
        <v>50</v>
      </c>
      <c r="G20" s="10" t="str">
        <f t="shared" si="7"/>
        <v>库存不足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>
        <f t="shared" si="4"/>
        <v>0</v>
      </c>
      <c r="D21" s="10">
        <f t="shared" si="5"/>
        <v>0</v>
      </c>
      <c r="E21" s="10">
        <f t="shared" si="6"/>
        <v>0</v>
      </c>
      <c r="F21" s="9">
        <v>50</v>
      </c>
      <c r="G21" s="10" t="str">
        <f t="shared" si="7"/>
        <v>库存不足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>
        <f t="shared" si="4"/>
        <v>0</v>
      </c>
      <c r="D22" s="10">
        <f t="shared" si="5"/>
        <v>0</v>
      </c>
      <c r="E22" s="10">
        <f t="shared" si="6"/>
        <v>0</v>
      </c>
      <c r="F22" s="9">
        <v>50</v>
      </c>
      <c r="G22" s="10" t="str">
        <f t="shared" si="7"/>
        <v>库存不足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>
        <f t="shared" si="4"/>
        <v>0</v>
      </c>
      <c r="D23" s="10">
        <f t="shared" si="5"/>
        <v>0</v>
      </c>
      <c r="E23" s="10">
        <f t="shared" si="6"/>
        <v>0</v>
      </c>
      <c r="F23" s="9">
        <v>50</v>
      </c>
      <c r="G23" s="10" t="str">
        <f t="shared" si="7"/>
        <v>库存不足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>
        <f t="shared" si="4"/>
        <v>0</v>
      </c>
      <c r="D24" s="10">
        <f t="shared" si="5"/>
        <v>0</v>
      </c>
      <c r="E24" s="10">
        <f t="shared" si="6"/>
        <v>0</v>
      </c>
      <c r="F24" s="9">
        <v>50</v>
      </c>
      <c r="G24" s="10" t="str">
        <f t="shared" si="7"/>
        <v>库存不足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>
        <f t="shared" si="4"/>
        <v>0</v>
      </c>
      <c r="D25" s="10">
        <f t="shared" si="5"/>
        <v>0</v>
      </c>
      <c r="E25" s="10">
        <f t="shared" si="6"/>
        <v>0</v>
      </c>
      <c r="F25" s="9">
        <v>50</v>
      </c>
      <c r="G25" s="10" t="str">
        <f t="shared" si="7"/>
        <v>库存不足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>
        <f t="shared" si="4"/>
        <v>0</v>
      </c>
      <c r="D26" s="10">
        <f t="shared" si="5"/>
        <v>0</v>
      </c>
      <c r="E26" s="10">
        <f t="shared" si="6"/>
        <v>0</v>
      </c>
      <c r="F26" s="9">
        <v>50</v>
      </c>
      <c r="G26" s="10" t="str">
        <f t="shared" si="7"/>
        <v>库存不足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>
        <f t="shared" si="4"/>
        <v>0</v>
      </c>
      <c r="D27" s="10">
        <f t="shared" si="5"/>
        <v>0</v>
      </c>
      <c r="E27" s="10">
        <f t="shared" si="6"/>
        <v>0</v>
      </c>
      <c r="F27" s="9">
        <v>50</v>
      </c>
      <c r="G27" s="10" t="str">
        <f t="shared" si="7"/>
        <v>库存不足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</row>
    <row r="29" spans="1:69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</row>
    <row r="30" spans="1:69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</row>
    <row r="39" spans="1:69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</row>
    <row r="40" spans="1:69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</row>
    <row r="41" spans="1:69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</row>
    <row r="42" spans="1:69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</row>
    <row r="43" spans="1:69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</row>
    <row r="44" spans="1:69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</row>
    <row r="45" spans="1:69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</row>
    <row r="46" spans="1:69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</row>
    <row r="47" spans="1:69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</sheetData>
  <sheetProtection algorithmName="SHA-512" hashValue="GDSsoG9ErwjvBH0UMGOAQKA1sUwRcJrxCjpAYzMk3ztg9z2CfJ5ORtBbRPF1puX/qRuGN4L4M/5orBdQCAbLtg==" saltValue="p5RWP45QAMh18bDKthkpuw==" spinCount="100000" sheet="1" objects="1"/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  <rangeList sheetStid="2" master="" otherUserPermission="visible"/>
  <rangeList sheetStid="3" master="" otherUserPermission="visible"/>
  <rangeList sheetStid="6" master="" otherUserPermission="visible"/>
  <rangeList sheetStid="5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2026年1月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2023-05-12T11:15:00Z</dcterms:created>
  <dcterms:modified xsi:type="dcterms:W3CDTF">2026-07-08T07:12:38Z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C49D4A602CED46D898F72FE09E444042_13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