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C71F" lockStructure="1"/>
  <bookViews>
    <workbookView windowWidth="23105" windowHeight="11080" activeTab="1"/>
  </bookViews>
  <sheets>
    <sheet name="合计" sheetId="3" r:id="rId1"/>
    <sheet name="明细" sheetId="2" r:id="rId2"/>
    <sheet name="基础数据" sheetId="5" state="hidden" r:id="rId3"/>
  </sheets>
  <definedNames>
    <definedName name="_xlnm._FilterDatabase" localSheetId="1" hidden="1">明细!$F$1:$F$20</definedName>
    <definedName name="_xlnm._FilterDatabase" localSheetId="2" hidden="1">基础数据!$A$4:$A$23</definedName>
    <definedName name="_xlnm.Print_Titles" localSheetId="1">明细!$2:$4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<sst xmlns="http://schemas.openxmlformats.org/spreadsheetml/2006/main" count="73" uniqueCount="68">
  <si>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费 用 事 由：</t>
  </si>
  <si>
    <t xml:space="preserve">   </t>
  </si>
  <si>
    <t>发 票 情 况</t>
  </si>
  <si>
    <t>有发票</t>
  </si>
  <si>
    <t>无发票</t>
  </si>
  <si>
    <t>合  计</t>
  </si>
  <si>
    <t>费用明细</t>
  </si>
  <si>
    <t>快递</t>
  </si>
  <si>
    <t>办公费</t>
  </si>
  <si>
    <t>市内差旅费</t>
  </si>
  <si>
    <t>市外差旅费</t>
  </si>
  <si>
    <t>茶餐费（业务招待费）</t>
  </si>
  <si>
    <t>工作餐补贴</t>
  </si>
  <si>
    <t>公司福利餐费</t>
  </si>
  <si>
    <t>维修/保养/年检/保险费等</t>
  </si>
  <si>
    <t>广告费</t>
  </si>
  <si>
    <t>检测证书费用</t>
  </si>
  <si>
    <t>其他费用</t>
  </si>
  <si>
    <t>本次报销合计</t>
  </si>
  <si>
    <t>大写</t>
  </si>
  <si>
    <t>报销人：</t>
  </si>
  <si>
    <r>
      <rPr>
        <sz val="9"/>
        <color theme="1"/>
        <rFont val="宋体"/>
        <charset val="134"/>
        <scheme val="minor"/>
      </rPr>
      <t xml:space="preserve"> 会计审批：</t>
    </r>
    <r>
      <rPr>
        <u/>
        <sz val="9"/>
        <color theme="1"/>
        <rFont val="宋体"/>
        <charset val="134"/>
        <scheme val="minor"/>
      </rPr>
      <t xml:space="preserve">                         </t>
    </r>
  </si>
  <si>
    <t xml:space="preserve"> </t>
  </si>
  <si>
    <t>日期：</t>
  </si>
  <si>
    <r>
      <rPr>
        <sz val="9"/>
        <rFont val="宋体"/>
        <charset val="134"/>
        <scheme val="minor"/>
      </rPr>
      <t xml:space="preserve">     日期：</t>
    </r>
    <r>
      <rPr>
        <u/>
        <sz val="9"/>
        <rFont val="宋体"/>
        <charset val="134"/>
        <scheme val="minor"/>
      </rPr>
      <t xml:space="preserve">                         </t>
    </r>
  </si>
  <si>
    <t>总经理审核：</t>
  </si>
  <si>
    <r>
      <rPr>
        <sz val="9"/>
        <rFont val="宋体"/>
        <charset val="134"/>
        <scheme val="minor"/>
      </rPr>
      <t>主管签字：</t>
    </r>
    <r>
      <rPr>
        <u/>
        <sz val="9"/>
        <rFont val="宋体"/>
        <charset val="134"/>
        <scheme val="minor"/>
      </rPr>
      <t xml:space="preserve">                          </t>
    </r>
  </si>
  <si>
    <r>
      <rPr>
        <sz val="9"/>
        <rFont val="宋体"/>
        <charset val="134"/>
        <scheme val="minor"/>
      </rPr>
      <t xml:space="preserve">     日期：</t>
    </r>
    <r>
      <rPr>
        <u/>
        <sz val="9"/>
        <rFont val="宋体"/>
        <charset val="134"/>
        <scheme val="minor"/>
      </rPr>
      <t xml:space="preserve">                        </t>
    </r>
    <r>
      <rPr>
        <sz val="9"/>
        <rFont val="宋体"/>
        <charset val="134"/>
        <scheme val="minor"/>
      </rPr>
      <t xml:space="preserve"> </t>
    </r>
  </si>
  <si>
    <t>公司报销表-2</t>
  </si>
  <si>
    <t>费用事由：</t>
  </si>
  <si>
    <t>成都川蓉振动测控技术有限公司管理费</t>
  </si>
  <si>
    <t>报 销 人：</t>
  </si>
  <si>
    <t>报销日期：</t>
  </si>
  <si>
    <t>日期</t>
  </si>
  <si>
    <t>费用名称</t>
  </si>
  <si>
    <t>金额</t>
  </si>
  <si>
    <t>费用产生人员</t>
  </si>
  <si>
    <t>事由</t>
  </si>
  <si>
    <t>名称</t>
  </si>
  <si>
    <t>说明</t>
  </si>
  <si>
    <t>公司名称</t>
  </si>
  <si>
    <t>出差住宿</t>
  </si>
  <si>
    <t>茶餐费</t>
  </si>
  <si>
    <t>自己消费</t>
  </si>
  <si>
    <t>华翼方舟</t>
  </si>
  <si>
    <t>加油</t>
  </si>
  <si>
    <t>云时光</t>
  </si>
  <si>
    <t>停车</t>
  </si>
  <si>
    <t>康宏利云</t>
  </si>
  <si>
    <t>过路费</t>
  </si>
  <si>
    <t>班车</t>
  </si>
  <si>
    <t>飞机</t>
  </si>
  <si>
    <t>公交</t>
  </si>
  <si>
    <t>铁路</t>
  </si>
  <si>
    <t>出租</t>
  </si>
  <si>
    <t>住宿</t>
  </si>
  <si>
    <t>招待</t>
  </si>
  <si>
    <t>餐费</t>
  </si>
  <si>
    <t>茶饮</t>
  </si>
  <si>
    <t>其他招待</t>
  </si>
  <si>
    <t>通讯费</t>
  </si>
  <si>
    <t>办公费用</t>
  </si>
  <si>
    <t>房租</t>
  </si>
  <si>
    <t>物管</t>
  </si>
  <si>
    <t>水电</t>
  </si>
  <si>
    <t>清洁</t>
  </si>
  <si>
    <t>商务/烟酒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</si>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</sst>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;0;&quot;&quot;"/>
    <numFmt numFmtId="178" formatCode="\¥#,##0.00_);[Red]\(\¥#,##0.00\)\&amp;0;&quot;--&quot;"/>
    <numFmt numFmtId="179" formatCode="\¥#,##0.00_);[Red]\(\¥#,##0.00\)"/>
    <numFmt numFmtId="180" formatCode="[DBNum2][$-804]General&quot;元整&quot;"/>
  </numFmts>
  <fonts count="34">
    <font>
      <sz val="11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10.5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  <scheme val="minor"/>
    </font>
    <font>
      <sz val="9"/>
      <color rgb="FF000080"/>
      <name val="宋体"/>
      <charset val="134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name val="宋体"/>
      <charset val="134"/>
      <scheme val="minor"/>
    </font>
    <font>
      <u/>
      <sz val="9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77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255"/>
    </xf>
    <xf numFmtId="0" fontId="11" fillId="3" borderId="1" xfId="0" applyFont="1" applyFill="1" applyBorder="1" applyAlignment="1">
      <alignment wrapText="1"/>
    </xf>
    <xf numFmtId="178" fontId="6" fillId="0" borderId="1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textRotation="255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79" fontId="12" fillId="4" borderId="1" xfId="0" applyNumberFormat="1" applyFont="1" applyFill="1" applyBorder="1" applyAlignment="1">
      <alignment horizontal="left" vertical="center"/>
    </xf>
    <xf numFmtId="180" fontId="12" fillId="4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pane ySplit="5" topLeftCell="A6" activePane="bottomLeft" state="frozen"/>
      <selection/>
      <selection pane="bottomLeft" activeCell="F14" sqref="F14"/>
    </sheetView>
  </sheetViews>
  <sheetFormatPr defaultColWidth="9" defaultRowHeight="18" customHeight="1" outlineLevelCol="2"/>
  <cols>
    <col min="1" max="1" width="10.7321428571429" style="24" customWidth="1"/>
    <col min="2" max="2" width="17.75" style="24" customWidth="1"/>
    <col min="3" max="3" width="27.2678571428571" style="24" customWidth="1"/>
    <col min="4" max="16384" width="9" style="24"/>
  </cols>
  <sheetData>
    <row r="1" ht="25.5" customHeight="1" spans="1:3">
      <c r="A1" s="25" t="str">
        <f>明细!A1</f>
        <v>公司报销表-2</v>
      </c>
      <c r="B1" s="26"/>
      <c r="C1" s="26"/>
    </row>
    <row r="2" ht="8.25" customHeight="1" spans="1:3">
      <c r="A2" s="27"/>
      <c r="B2" s="27"/>
      <c r="C2" s="27"/>
    </row>
    <row r="3" ht="12" customHeight="1" spans="1:3">
      <c r="A3" s="28" t="s">
        <v>0</v>
      </c>
      <c r="B3" s="29" t="str">
        <f>明细!B2</f>
        <v>成都川蓉振动测控技术有限公司管理费</v>
      </c>
      <c r="C3" s="29"/>
    </row>
    <row r="4" ht="6" customHeight="1" spans="1:3">
      <c r="A4" s="28"/>
      <c r="B4" s="30"/>
      <c r="C4" s="31" t="s">
        <v>1</v>
      </c>
    </row>
    <row r="5" ht="14" spans="1:3">
      <c r="A5" s="32" t="s">
        <v>2</v>
      </c>
      <c r="B5" s="33" t="s">
        <v>3</v>
      </c>
      <c r="C5" s="33" t="s">
        <v>4</v>
      </c>
    </row>
    <row r="6" ht="14" spans="1:3">
      <c r="A6" s="32" t="s">
        <v>5</v>
      </c>
      <c r="B6" s="33">
        <f>SUMIF(明细!F4:F259,B5,明细!C4:C259)</f>
        <v>0</v>
      </c>
      <c r="C6" s="33">
        <f>SUMIF(明细!F4:F259,C5,明细!C4:C259)</f>
        <v>0</v>
      </c>
    </row>
    <row r="7" ht="17" customHeight="1" spans="1:3">
      <c r="A7" s="34" t="s">
        <v>6</v>
      </c>
      <c r="B7" s="35" t="s">
        <v>7</v>
      </c>
      <c r="C7" s="36">
        <f>SUMIF(明细!$B$4:$B$259,B7,明细!$C$4:$C$259)</f>
        <v>0</v>
      </c>
    </row>
    <row r="8" ht="17" customHeight="1" spans="1:3">
      <c r="A8" s="34"/>
      <c r="B8" s="35" t="s">
        <v>8</v>
      </c>
      <c r="C8" s="36">
        <f>SUMIF(明细!$B$4:$B$259,B8,明细!$C$4:$C$259)</f>
        <v>0</v>
      </c>
    </row>
    <row r="9" ht="17" customHeight="1" spans="1:3">
      <c r="A9" s="34"/>
      <c r="B9" s="35" t="s">
        <v>9</v>
      </c>
      <c r="C9" s="36">
        <f>SUMIF(明细!$B$4:$B$259,B9,明细!$C$4:$C$259)</f>
        <v>0</v>
      </c>
    </row>
    <row r="10" ht="17" customHeight="1" spans="1:3">
      <c r="A10" s="34"/>
      <c r="B10" s="35" t="s">
        <v>10</v>
      </c>
      <c r="C10" s="36">
        <f>SUMIF(明细!$B$4:$B$259,B10,明细!$C$4:$C$259)</f>
        <v>0</v>
      </c>
    </row>
    <row r="11" ht="17" customHeight="1" spans="1:3">
      <c r="A11" s="34"/>
      <c r="B11" s="35" t="s">
        <v>11</v>
      </c>
      <c r="C11" s="36">
        <f>SUMIF(明细!$B$4:$B$259,B11,明细!$C$4:$C$259)</f>
        <v>0</v>
      </c>
    </row>
    <row r="12" ht="17" customHeight="1" spans="1:3">
      <c r="A12" s="34"/>
      <c r="B12" s="35" t="s">
        <v>12</v>
      </c>
      <c r="C12" s="36">
        <f>SUMIF(明细!$B$4:$B$259,B12,明细!$C$4:$C$259)</f>
        <v>0</v>
      </c>
    </row>
    <row r="13" ht="17" customHeight="1" spans="1:3">
      <c r="A13" s="34"/>
      <c r="B13" s="35" t="s">
        <v>13</v>
      </c>
      <c r="C13" s="36">
        <f>SUMIF(明细!$B$4:$B$259,B13,明细!$C$4:$C$259)</f>
        <v>0</v>
      </c>
    </row>
    <row r="14" ht="29" customHeight="1" spans="1:3">
      <c r="A14" s="34"/>
      <c r="B14" s="35" t="s">
        <v>14</v>
      </c>
      <c r="C14" s="36">
        <f>SUMIF(明细!$B$4:$B$259,B14,明细!$C$4:$C$259)</f>
        <v>0</v>
      </c>
    </row>
    <row r="15" ht="20" customHeight="1" spans="1:3">
      <c r="A15" s="34"/>
      <c r="B15" s="35" t="s">
        <v>15</v>
      </c>
      <c r="C15" s="36">
        <f>SUMIF(明细!$B$4:$B$259,B15,明细!$C$4:$C$259)</f>
        <v>0</v>
      </c>
    </row>
    <row r="16" ht="20" customHeight="1" spans="1:3">
      <c r="A16" s="34"/>
      <c r="B16" s="35" t="s">
        <v>16</v>
      </c>
      <c r="C16" s="36">
        <f>SUMIF(明细!$B$4:$B$259,B16,明细!$C$4:$C$259)</f>
        <v>0</v>
      </c>
    </row>
    <row r="17" ht="20" customHeight="1" spans="1:3">
      <c r="A17" s="37"/>
      <c r="B17" s="35" t="s">
        <v>17</v>
      </c>
      <c r="C17" s="36">
        <f>SUMIF(明细!$B$4:$B$259,B17,明细!$C$4:$C$259)</f>
        <v>0</v>
      </c>
    </row>
    <row r="18" ht="12" customHeight="1" spans="1:3">
      <c r="A18" s="38" t="s">
        <v>18</v>
      </c>
      <c r="B18" s="39"/>
      <c r="C18" s="40">
        <f>SUM(C7:C17)</f>
        <v>0</v>
      </c>
    </row>
    <row r="19" ht="12" customHeight="1" spans="1:3">
      <c r="A19" s="38" t="s">
        <v>19</v>
      </c>
      <c r="B19" s="39"/>
      <c r="C19" s="41">
        <f>C18</f>
        <v>0</v>
      </c>
    </row>
    <row r="20" ht="12" customHeight="1"/>
    <row r="21" ht="12" customHeight="1" spans="1:3">
      <c r="A21" s="42" t="s">
        <v>20</v>
      </c>
      <c r="B21" s="43">
        <f>明细!B3</f>
        <v>0</v>
      </c>
      <c r="C21" s="24" t="s">
        <v>21</v>
      </c>
    </row>
    <row r="22" ht="3" customHeight="1" spans="1:3">
      <c r="A22" s="42"/>
      <c r="B22" s="42"/>
      <c r="C22" s="44" t="s">
        <v>22</v>
      </c>
    </row>
    <row r="23" ht="12" customHeight="1" spans="1:3">
      <c r="A23" s="42" t="s">
        <v>23</v>
      </c>
      <c r="B23" s="43">
        <f>明细!E3</f>
        <v>0</v>
      </c>
      <c r="C23" s="45" t="s">
        <v>24</v>
      </c>
    </row>
    <row r="24" ht="3" customHeight="1" spans="1:3">
      <c r="A24" s="28"/>
    </row>
    <row r="25" ht="3" customHeight="1" spans="1:3">
      <c r="A25" s="28"/>
    </row>
    <row r="26" ht="12" customHeight="1" spans="1:3">
      <c r="A26" s="42" t="s">
        <v>25</v>
      </c>
      <c r="B26" s="46"/>
      <c r="C26" s="45" t="s">
        <v>26</v>
      </c>
    </row>
    <row r="27" ht="3" customHeight="1" spans="1:3">
      <c r="A27" s="42"/>
      <c r="B27" s="42"/>
      <c r="C27" s="44"/>
    </row>
    <row r="28" ht="12" customHeight="1" spans="1:3">
      <c r="A28" s="42" t="s">
        <v>23</v>
      </c>
      <c r="B28" s="46"/>
      <c r="C28" s="45" t="s">
        <v>27</v>
      </c>
    </row>
    <row r="29" ht="3" customHeight="1" spans="1:3">
      <c r="A29" s="28"/>
    </row>
    <row r="30" customHeight="1" spans="1:3">
      <c r="A30" s="47"/>
      <c r="B30" s="47"/>
      <c r="C30" s="47"/>
    </row>
  </sheetData>
  <sheetProtection selectLockedCells="1" selectUnlockedCells="1"/>
  <protectedRanges>
    <protectedRange sqref="B21" name="区域1"/>
  </protectedRanges>
  <mergeCells count="4">
    <mergeCell ref="B3:C3"/>
    <mergeCell ref="A18:B18"/>
    <mergeCell ref="A19:B19"/>
    <mergeCell ref="A7:A17"/>
  </mergeCells>
  <conditionalFormatting sqref="B5:B6">
    <cfRule type="duplicateValues" dxfId="0" priority="3"/>
  </conditionalFormatting>
  <conditionalFormatting sqref="B1:B4 B7:B10 B12:B20 B22 B24:B1048576">
    <cfRule type="duplicateValues" dxfId="0" priority="7"/>
  </conditionalFormatting>
  <dataValidations count="1">
    <dataValidation allowBlank="1" showInputMessage="1" showErrorMessage="1" sqref="B21"/>
  </dataValidations>
  <printOptions horizontalCentered="1"/>
  <pageMargins left="0.393055555555556" right="0.460416666666667" top="0.904861111111111" bottom="0.511805555555556" header="0.314583333333333" footer="0.314583333333333"/>
  <pageSetup paperSize="11" orientation="portrait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15" zoomScaleNormal="115" workbookViewId="0">
      <pane ySplit="4" topLeftCell="A5" activePane="bottomLeft" state="frozen"/>
      <selection/>
      <selection pane="bottomLeft" activeCell="E3" sqref="E3:F3"/>
    </sheetView>
  </sheetViews>
  <sheetFormatPr defaultColWidth="9" defaultRowHeight="20" customHeight="1" outlineLevelCol="5"/>
  <cols>
    <col min="1" max="1" width="7.38392857142857" style="3" customWidth="1"/>
    <col min="2" max="2" width="12.4910714285714" style="4" customWidth="1"/>
    <col min="3" max="3" width="7.26785714285714" style="5" customWidth="1"/>
    <col min="4" max="4" width="9.73214285714286" style="6" customWidth="1"/>
    <col min="5" max="5" width="16.7410714285714" style="4" customWidth="1"/>
    <col min="6" max="6" width="9" style="3"/>
    <col min="7" max="16384" width="9" style="7"/>
  </cols>
  <sheetData>
    <row r="1" customHeight="1" spans="1:6">
      <c r="A1" s="8" t="s">
        <v>28</v>
      </c>
      <c r="B1" s="9"/>
      <c r="C1" s="8"/>
      <c r="D1" s="8"/>
      <c r="E1" s="8"/>
      <c r="F1" s="8"/>
    </row>
    <row r="2" customHeight="1" spans="1:6">
      <c r="A2" s="3" t="s">
        <v>29</v>
      </c>
      <c r="B2" s="10" t="s">
        <v>30</v>
      </c>
      <c r="C2" s="10"/>
      <c r="D2" s="10"/>
      <c r="E2" s="10"/>
      <c r="F2" s="10"/>
    </row>
    <row r="3" customHeight="1" spans="1:6">
      <c r="A3" s="3" t="s">
        <v>31</v>
      </c>
      <c r="B3" s="10"/>
      <c r="C3" s="10"/>
      <c r="D3" s="11" t="s">
        <v>32</v>
      </c>
      <c r="E3" s="10"/>
      <c r="F3" s="10"/>
    </row>
    <row r="4" customHeight="1" spans="1:6">
      <c r="A4" s="12" t="s">
        <v>33</v>
      </c>
      <c r="B4" s="13" t="s">
        <v>34</v>
      </c>
      <c r="C4" s="14" t="s">
        <v>35</v>
      </c>
      <c r="D4" s="13" t="s">
        <v>36</v>
      </c>
      <c r="E4" s="13" t="s">
        <v>37</v>
      </c>
      <c r="F4" s="12" t="s">
        <v>3</v>
      </c>
    </row>
    <row r="5" customHeight="1" spans="1:6">
      <c r="A5" s="15"/>
      <c r="B5" s="16"/>
      <c r="C5" s="17"/>
      <c r="D5" s="16"/>
      <c r="E5" s="18"/>
      <c r="F5" s="15"/>
    </row>
    <row r="6" customHeight="1" spans="1:6">
      <c r="A6" s="15"/>
      <c r="B6" s="16"/>
      <c r="C6" s="17"/>
      <c r="D6" s="16"/>
      <c r="E6" s="18"/>
      <c r="F6" s="15"/>
    </row>
    <row r="7" customHeight="1" spans="1:6">
      <c r="A7" s="15"/>
      <c r="B7" s="16"/>
      <c r="C7" s="17"/>
      <c r="D7" s="16"/>
      <c r="E7" s="18"/>
      <c r="F7" s="15"/>
    </row>
    <row r="8" s="2" customFormat="1" customHeight="1" spans="1:6">
      <c r="A8" s="15"/>
      <c r="B8" s="16"/>
      <c r="C8" s="17"/>
      <c r="D8" s="16"/>
      <c r="E8" s="18"/>
      <c r="F8" s="15"/>
    </row>
    <row r="9" customHeight="1" spans="1:6">
      <c r="A9" s="15"/>
      <c r="B9" s="16"/>
      <c r="C9" s="17"/>
      <c r="D9" s="16"/>
      <c r="E9" s="18"/>
      <c r="F9" s="15"/>
    </row>
    <row r="10" customHeight="1" spans="1:6">
      <c r="A10" s="15"/>
      <c r="B10" s="16"/>
      <c r="C10" s="17"/>
      <c r="D10" s="16"/>
      <c r="E10" s="19"/>
      <c r="F10" s="15"/>
    </row>
    <row r="11" customHeight="1" spans="1:6">
      <c r="A11" s="15"/>
      <c r="B11" s="16"/>
      <c r="C11" s="17"/>
      <c r="D11" s="16"/>
      <c r="E11" s="18"/>
      <c r="F11" s="15"/>
    </row>
    <row r="12" customHeight="1" spans="1:6">
      <c r="A12" s="15"/>
      <c r="B12" s="16"/>
      <c r="C12" s="17"/>
      <c r="D12" s="16"/>
      <c r="E12" s="18"/>
      <c r="F12" s="15"/>
    </row>
    <row r="13" customHeight="1" spans="1:6">
      <c r="A13" s="15"/>
      <c r="B13" s="16"/>
      <c r="C13" s="17"/>
      <c r="D13" s="16"/>
      <c r="E13" s="18"/>
      <c r="F13" s="15"/>
    </row>
    <row r="14" customHeight="1" spans="1:6">
      <c r="A14" s="15"/>
      <c r="B14" s="16"/>
      <c r="C14" s="17"/>
      <c r="D14" s="16"/>
      <c r="E14" s="18"/>
      <c r="F14" s="15"/>
    </row>
    <row r="15" ht="23" customHeight="1" spans="1:6">
      <c r="A15" s="15"/>
      <c r="B15" s="16"/>
      <c r="C15" s="17"/>
      <c r="D15" s="16"/>
      <c r="E15" s="18"/>
      <c r="F15" s="15"/>
    </row>
    <row r="16" ht="23" customHeight="1" spans="1:6">
      <c r="A16" s="15"/>
      <c r="B16" s="16"/>
      <c r="C16" s="17"/>
      <c r="D16" s="16"/>
      <c r="E16" s="18"/>
      <c r="F16" s="15"/>
    </row>
    <row r="17" ht="23" customHeight="1" spans="1:6">
      <c r="A17" s="15"/>
      <c r="B17" s="16"/>
      <c r="C17" s="17"/>
      <c r="D17" s="16"/>
      <c r="E17" s="18"/>
      <c r="F17" s="15"/>
    </row>
    <row r="18" ht="23" customHeight="1" spans="1:6">
      <c r="A18" s="15"/>
      <c r="B18" s="16"/>
      <c r="C18" s="17"/>
      <c r="D18" s="16"/>
      <c r="E18" s="18"/>
      <c r="F18" s="15"/>
    </row>
    <row r="19" ht="23" customHeight="1" spans="1:6">
      <c r="A19" s="15"/>
      <c r="B19" s="13"/>
      <c r="C19" s="17"/>
      <c r="D19" s="16"/>
      <c r="E19" s="18"/>
      <c r="F19" s="15"/>
    </row>
    <row r="20" ht="23" customHeight="1" spans="1:6">
      <c r="A20" s="15"/>
      <c r="B20" s="13"/>
      <c r="C20" s="17"/>
      <c r="D20" s="16"/>
      <c r="E20" s="18"/>
      <c r="F20" s="15"/>
    </row>
    <row r="21" ht="23" customHeight="1" spans="1:6">
      <c r="A21" s="20"/>
      <c r="C21" s="21"/>
      <c r="D21" s="22"/>
      <c r="E21" s="23"/>
      <c r="F21" s="20"/>
    </row>
  </sheetData>
  <autoFilter xmlns:etc="http://www.wps.cn/officeDocument/2017/etCustomData" ref="F1:F20" etc:filterBottomFollowUsedRange="0">
    <extLst/>
  </autoFilter>
  <mergeCells count="4">
    <mergeCell ref="A1:F1"/>
    <mergeCell ref="B2:F2"/>
    <mergeCell ref="B3:C3"/>
    <mergeCell ref="E3:F3"/>
  </mergeCells>
  <conditionalFormatting sqref="C5:C10">
    <cfRule type="expression" dxfId="1" priority="2">
      <formula>MOD(ROW(),2)=0</formula>
    </cfRule>
  </conditionalFormatting>
  <conditionalFormatting sqref="C11:C21">
    <cfRule type="expression" dxfId="1" priority="1">
      <formula>MOD(ROW(),2)=0</formula>
    </cfRule>
  </conditionalFormatting>
  <conditionalFormatting sqref="B19 A22:E587">
    <cfRule type="expression" dxfId="1" priority="140">
      <formula>MOD(ROW(),2)=0</formula>
    </cfRule>
  </conditionalFormatting>
  <dataValidations count="5">
    <dataValidation type="list" allowBlank="1" showInputMessage="1" showErrorMessage="1" sqref="B4:B391">
      <formula1>合计!$B$7:$B$17</formula1>
    </dataValidation>
    <dataValidation type="list" allowBlank="1" showInputMessage="1" showErrorMessage="1" sqref="B392:B586">
      <formula1>基础数据!$A$2:$A$153</formula1>
    </dataValidation>
    <dataValidation type="list" allowBlank="1" showInputMessage="1" showErrorMessage="1" sqref="B587:B1048576">
      <formula1>基础数据!$A:$A</formula1>
    </dataValidation>
    <dataValidation allowBlank="1" showInputMessage="1" showErrorMessage="1" sqref="C22:C337"/>
    <dataValidation type="list" allowBlank="1" showInputMessage="1" showErrorMessage="1" sqref="F4:F21">
      <formula1>"有发票,无发票"</formula1>
    </dataValidation>
  </dataValidations>
  <printOptions horizontalCentered="1"/>
  <pageMargins left="0.354330708661417" right="0.31496062992126" top="0.511811023622047" bottom="1.06299212598425" header="0.236220472440945" footer="0.354330708661417"/>
  <pageSetup paperSize="1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F14" sqref="F14"/>
    </sheetView>
  </sheetViews>
  <sheetFormatPr defaultColWidth="9" defaultRowHeight="22.5" customHeight="1" outlineLevelCol="4"/>
  <cols>
    <col min="1" max="1" width="12.5982142857143" style="1" customWidth="1"/>
  </cols>
  <sheetData>
    <row r="1" customHeight="1" spans="1:5">
      <c r="A1" s="1" t="s">
        <v>38</v>
      </c>
      <c r="B1" s="1" t="s">
        <v>39</v>
      </c>
      <c r="E1" t="s">
        <v>40</v>
      </c>
    </row>
    <row r="2" customHeight="1" spans="1:5">
      <c r="A2" s="1" t="s">
        <v>41</v>
      </c>
    </row>
    <row r="3" customHeight="1" spans="1:5">
      <c r="A3" s="1" t="s">
        <v>42</v>
      </c>
      <c r="B3" t="s">
        <v>43</v>
      </c>
      <c r="E3" t="s">
        <v>44</v>
      </c>
    </row>
    <row r="4" customHeight="1" spans="1:5">
      <c r="A4" s="1" t="s">
        <v>45</v>
      </c>
      <c r="E4" t="s">
        <v>46</v>
      </c>
    </row>
    <row r="5" customHeight="1" spans="1:5">
      <c r="A5" s="1" t="s">
        <v>47</v>
      </c>
      <c r="E5" t="s">
        <v>48</v>
      </c>
    </row>
    <row r="6" customHeight="1" spans="1:5">
      <c r="A6" s="1" t="s">
        <v>49</v>
      </c>
    </row>
    <row r="7" customHeight="1" spans="1:5">
      <c r="A7" s="1" t="s">
        <v>50</v>
      </c>
    </row>
    <row r="8" customHeight="1" spans="1:5">
      <c r="A8" s="1" t="s">
        <v>51</v>
      </c>
    </row>
    <row r="9" ht="21.75" customHeight="1" spans="1:5">
      <c r="A9" s="1" t="s">
        <v>52</v>
      </c>
    </row>
    <row r="10" customHeight="1" spans="1:5">
      <c r="A10" s="1" t="s">
        <v>53</v>
      </c>
    </row>
    <row r="11" customHeight="1" spans="1:5">
      <c r="A11" s="1" t="s">
        <v>54</v>
      </c>
    </row>
    <row r="12" customHeight="1" spans="1:5">
      <c r="A12" s="1" t="s">
        <v>55</v>
      </c>
      <c r="B12" t="s">
        <v>56</v>
      </c>
    </row>
    <row r="13" customHeight="1" spans="1:5">
      <c r="A13" s="1" t="s">
        <v>57</v>
      </c>
      <c r="B13" t="s">
        <v>56</v>
      </c>
    </row>
    <row r="14" customHeight="1" spans="1:5">
      <c r="A14" s="1" t="s">
        <v>58</v>
      </c>
      <c r="B14" t="s">
        <v>56</v>
      </c>
    </row>
    <row r="15" customHeight="1" spans="1:5">
      <c r="A15" s="1" t="s">
        <v>59</v>
      </c>
      <c r="B15" t="s">
        <v>56</v>
      </c>
    </row>
    <row r="16" customHeight="1" spans="1:5">
      <c r="A16" s="1" t="s">
        <v>60</v>
      </c>
    </row>
    <row r="17" customHeight="1" spans="1:1">
      <c r="A17" s="1" t="s">
        <v>61</v>
      </c>
    </row>
    <row r="18" customHeight="1" spans="1:1">
      <c r="A18" s="1" t="s">
        <v>62</v>
      </c>
    </row>
    <row r="19" customHeight="1" spans="1:1">
      <c r="A19" s="1" t="s">
        <v>63</v>
      </c>
    </row>
    <row r="20" customHeight="1" spans="1:1">
      <c r="A20" s="1" t="s">
        <v>64</v>
      </c>
    </row>
    <row r="21" customHeight="1" spans="1:1">
      <c r="A21" s="1" t="s">
        <v>65</v>
      </c>
    </row>
    <row r="22" customHeight="1" spans="1:1">
      <c r="A22" s="1" t="s">
        <v>66</v>
      </c>
    </row>
    <row r="23" customHeight="1" spans="1:1">
      <c r="A23" s="1" t="s">
        <v>67</v>
      </c>
    </row>
  </sheetData>
  <sheetProtection algorithmName="SHA-512" hashValue="wAxZgRs4bLCdwScIsASl4kavYeq7yOzxVtI8lbRqxU4mAzFpeR/tzW0wyJ/o37A3C1fVjdn0M3ebeOlMN0m1cA==" saltValue="NgBlMJu18rXgFz9GLsUFZg==" spinCount="100000" sheet="1" selectLockedCells="1" selectUnlockedCells="1" objects="1" scenarios="1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2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合计</vt:lpstr>
      <vt:lpstr>明细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admin--02</dc:creator>
  <cp:lastModifiedBy>16003</cp:lastModifiedBy>
  <dcterms:created xsi:type="dcterms:W3CDTF">2019-01-04T01:40:00Z</dcterms:created>
  <cp:lastPrinted>2025-01-13T02:41:00Z</cp:lastPrinted>
  <dcterms:modified xsi:type="dcterms:W3CDTF">2026-07-08T07:16:48Z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B29B650C8DCE48C0B9B39088663E3266_13</vt:lpwstr>
  </property>
  <property fmtid="{D5CDD505-2E9C-101B-9397-08002B2CF9AE}" pid="4" name="CalculationRule">
    <vt:i4>0</vt:i4>
  </property>
</Properties>
</file>